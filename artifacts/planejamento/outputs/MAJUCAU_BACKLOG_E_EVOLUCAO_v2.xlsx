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c0dc47b03043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ec1eff6292a44914"/>
    <x:sheet xmlns:r="http://schemas.openxmlformats.org/officeDocument/2006/relationships" name="Tarefas" sheetId="2" r:id="R80ee2eb555f94667"/>
    <x:sheet xmlns:r="http://schemas.openxmlformats.org/officeDocument/2006/relationships" name="Decisoes" sheetId="3" r:id="Rb9db71eaf4064902"/>
    <x:sheet xmlns:r="http://schemas.openxmlformats.org/officeDocument/2006/relationships" name="Cobertura" sheetId="4" r:id="Rfd513f3817c046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3c5d715a5d4912" /><Relationship Type="http://schemas.openxmlformats.org/officeDocument/2006/relationships/theme" Target="/xl/theme/theme1.xml" Id="R905edea789394d1b" /><Relationship Type="http://schemas.openxmlformats.org/officeDocument/2006/relationships/sharedStrings" Target="/xl/sharedStrings.xml" Id="Rd7d4aeac0a1d45ac" /><Relationship Type="http://schemas.openxmlformats.org/officeDocument/2006/relationships/worksheet" Target="/xl/worksheets/sheet1.xml" Id="Rec1eff6292a44914" /><Relationship Type="http://schemas.openxmlformats.org/officeDocument/2006/relationships/worksheet" Target="/xl/worksheets/sheet2.xml" Id="R80ee2eb555f94667" /><Relationship Type="http://schemas.openxmlformats.org/officeDocument/2006/relationships/worksheet" Target="/xl/worksheets/sheet3.xml" Id="Rb9db71eaf4064902" /><Relationship Type="http://schemas.openxmlformats.org/officeDocument/2006/relationships/worksheet" Target="/xl/worksheets/sheet4.xml" Id="Rfd513f3817c04638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e0a480ea884dc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3ccbd8125c7463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94e3244d4a14873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13/10/2026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0.11031496062992126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0.16666666666666666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0.5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0.10333333333333332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0.017857142857142856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0.0016666666666666668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13/10/2026: 7 concluídas, 18 em andamento e 102 não iniciadas. Estimativa: 11,0%; restante: 89,0%.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Em andamento</x:v>
      </x:c>
      <x:c r="F22" s="18" t="n">
        <x:v>1</x:v>
      </x:c>
      <x:c r="G22" s="16" t="n">
        <x:v>0.2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§§1–4; docs/architecture/DOMAIN-CONTEXT-MAP-v1.md</x:v>
      </x:c>
      <x:c r="M22" s="10" t="n">
        <x:f>IF(AND(E22="Concluída",H22&lt;&gt;""),F22,0)</x:f>
        <x:v>0</x:v>
      </x:c>
      <x:c r="N22" s="10" t="n">
        <x:f>F22*G22</x:f>
        <x:v>0.2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Em andamento</x:v>
      </x:c>
      <x:c r="F23" s="18" t="n">
        <x:v>1</x:v>
      </x:c>
      <x:c r="G23" s="17" t="n">
        <x:v>0.95</x:v>
      </x:c>
      <x:c r="H23" s="12" t="str">
        <x:v>95%: limites, contratos, composição, transações e dependências estão documentados; a CI verifica as fronteiras de imports. Faltam BK-016 e fechar contratos de módulos quando a propriedade dos fatos estiver definida.</x:v>
      </x:c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0.95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Em andamento</x:v>
      </x:c>
      <x:c r="F32" s="18" t="n">
        <x:v>1</x:v>
      </x:c>
      <x:c r="G32" s="16" t="n">
        <x:v>0.6</x:v>
      </x:c>
      <x:c r="H32" s="12" t="str">
        <x:v>60%: o protótipo foi iniciado com PostgreSQL isolado por scripts/start-prototype.ps1. Faltam validação visual/funcional e ensaio em máquina limpa. Evidência: docs/evidence/DEV-ENVIRONMENT-SETUP-2026-10-12.md.</x:v>
      </x:c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0.6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Em andamento</x:v>
      </x:c>
      <x:c r="F33" s="18" t="n">
        <x:v>1</x:v>
      </x:c>
      <x:c r="G33" s="17" t="n">
        <x:v>0.35</x:v>
      </x:c>
      <x:c r="H33" s="12" t="str">
        <x:v>35%: o worker compõe serviços, limita conexão ao PostgreSQL e encerra de forma controlada; a saúde verifica conexão e quatro tabelas essenciais com códigos sanitizados. A CI 38379095626 aplicou database/privileges/runtime.sql em PostgreSQL descartável e confirmou permissões mínimas do papel runtime, bloqueio de alteração direta de RAW/auditoria e acesso apenas às funções de transição aprovadas. Ainda faltam validar provisionamento das permissões na instalação, configuração de produção e operação em VM limpa. Evidências: docs/evidence/WORKER-DATABASE-SCHEMA-READINESS-2026-10-13.md e docs/evidence/WORKER-RUNTIME-DATABASE-PRIVILEGES-2026-10-13.md.</x:v>
      </x:c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0.35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0.75</x:v>
      </x:c>
      <x:c r="H47" s="12" t="str">
        <x:v>75%: leitura de receber, pagar e movimentações de caixa com GET limitado; OAuth local via callback HTTPS, state e DPAPI. /caixas usa parâmetros documentados e limite local. Faltam integração/persistência de caixa, homologação da conta, término da paginação e cursor incremental. Evidência: docs/evidence/BLING-OAUTH-LOCAL-RELAY-2026-10-13.md.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0.75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Em andamento</x:v>
      </x:c>
      <x:c r="F48" s="18" t="n">
        <x:v>1</x:v>
      </x:c>
      <x:c r="G48" s="16" t="n">
        <x:v>0.4</x:v>
      </x:c>
      <x:c r="H48" s="12" t="str">
        <x:v>40%: a ponte do Site lista arquivos em páginas e baixa em fluxo, calcula hash, confere a versão e grava staging em blocos. Faltam credencial e pasta reais do Drive, importação controlada, confirmar leitura somente, agenda diária, medição de carga e VM limpa. Evidência: docs/evidence/DRIVE-STREAMING-IMPORT-2026-10-13.md.</x:v>
      </x:c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0.4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Em andamento</x:v>
      </x:c>
      <x:c r="F49" s="18" t="n">
        <x:v>1</x:v>
      </x:c>
      <x:c r="G49" s="17" t="n">
        <x:v>0.4</x:v>
      </x:c>
      <x:c r="H49" s="12" t="str">
        <x:v>40%: estruturas CSV/TSV/JSON são lidas em fluxo com limites e staging; arquivos XLS/XLSX são recusados e nenhuma linha vira fato financeiro antes de aprovação do layout. Faltam contratos aprovados e amostras reais autorizadas, carga e ensaio em VM limpa. Evidência: docs/evidence/DRIVE-STREAMING-IMPORT-2026-10-13.md.</x:v>
      </x:c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0.4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0.25</x:v>
      </x:c>
      <x:c r="H73" s="12" t="str">
        <x:v>25%: cards informativos EBIT, EBITDA e CAPEX permanecem no espaço aprovado, somente para consulta; CAPEX fica fora da tabela e do lucro. O backend ainda não traz valores reais para os cards; faltam homologar categorias/paginação, persistir e conciliar movimentações e fechar a DRE própria. Evidência: docs/evidence/CAPEX-REPORT-DATA-SOURCE-AUDIT-2026-10-11.md.</x:v>
      </x:c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§§2,5; API Bling v3: GET /caixas, GET /caixas/{idCaixa}, GET /categorias/receitas-despesas; docs/evidence/CAPEX-REPORT-STRUCTURE-REVIEW-2026-10-11.md</x:v>
      </x:c>
      <x:c r="M73" s="11" t="n">
        <x:f>IF(AND(E73="Concluída",H73&lt;&gt;""),F73,0)</x:f>
        <x:v>0</x:v>
      </x:c>
      <x:c r="N73" s="11" t="n">
        <x:f>F73*G73</x:f>
        <x:v>0.25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Em andamento</x:v>
      </x:c>
      <x:c r="F108" s="18" t="n">
        <x:v>1</x:v>
      </x:c>
      <x:c r="G108" s="16" t="n">
        <x:v>0.01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0.01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ce0a480ea884dc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ccbd8125c7463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b94e3244d4a14873"/>
  </x:tableParts>
</x:worksheet>
</file>