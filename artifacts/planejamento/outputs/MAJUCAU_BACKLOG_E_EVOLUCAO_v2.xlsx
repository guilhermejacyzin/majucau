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5ae143d3a742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5186a35fc80e4034"/>
    <x:sheet xmlns:r="http://schemas.openxmlformats.org/officeDocument/2006/relationships" name="Tarefas" sheetId="2" r:id="R0ab2067e0dc34dc9"/>
    <x:sheet xmlns:r="http://schemas.openxmlformats.org/officeDocument/2006/relationships" name="Decisoes" sheetId="3" r:id="Rbcb05fee8c1842b1"/>
    <x:sheet xmlns:r="http://schemas.openxmlformats.org/officeDocument/2006/relationships" name="Cobertura" sheetId="4" r:id="R7f133100b6f140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 patternType="solid"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0761c914c141d1" /><Relationship Type="http://schemas.openxmlformats.org/officeDocument/2006/relationships/theme" Target="/xl/theme/theme1.xml" Id="Rf8734fd5c1ca42d0" /><Relationship Type="http://schemas.openxmlformats.org/officeDocument/2006/relationships/sharedStrings" Target="/xl/sharedStrings.xml" Id="Ra98cc2617b054c1d" /><Relationship Type="http://schemas.openxmlformats.org/officeDocument/2006/relationships/worksheet" Target="/xl/worksheets/sheet1.xml" Id="R5186a35fc80e4034" /><Relationship Type="http://schemas.openxmlformats.org/officeDocument/2006/relationships/worksheet" Target="/xl/worksheets/sheet2.xml" Id="R0ab2067e0dc34dc9" /><Relationship Type="http://schemas.openxmlformats.org/officeDocument/2006/relationships/worksheet" Target="/xl/worksheets/sheet3.xml" Id="Rbcb05fee8c1842b1" /><Relationship Type="http://schemas.openxmlformats.org/officeDocument/2006/relationships/worksheet" Target="/xl/worksheets/sheet4.xml" Id="R7f133100b6f14059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28773bd97d046e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e8dbd42da440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f3c1b566b0f4830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18/10/2026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0.1162992125984252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0.16666666666666666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0.5071428571428571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0.15066666666666664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0.017857142857142856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18/10/2026: 7 concluídas, 19 em andamento e 101 não iniciadas. Estimativa: 11,6%; restante: 88,4%.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Em andamento</x:v>
      </x:c>
      <x:c r="F22" s="18" t="n">
        <x:v>1</x:v>
      </x:c>
      <x:c r="G22" s="16" t="n">
        <x:v>0.2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§§1–4; docs/architecture/DOMAIN-CONTEXT-MAP-v1.md</x:v>
      </x:c>
      <x:c r="M22" s="10" t="n">
        <x:f>IF(AND(E22="Concluída",H22&lt;&gt;""),F22,0)</x:f>
        <x:v>0</x:v>
      </x:c>
      <x:c r="N22" s="10" t="n">
        <x:f>F22*G22</x:f>
        <x:v>0.2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0.95</x:v>
      </x:c>
      <x:c r="H23" s="12" t="str">
        <x:v>95%: limites, contratos, composição, transações e dependências estão documentados; a CI verifica as fronteiras de imports. Faltam BK-016 e fechar contratos de módulos quando a propriedade dos fatos estiver definida.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0.95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0.6</x:v>
      </x:c>
      <x:c r="H32" s="12" t="str">
        <x:v>60%: o protótipo foi iniciado com PostgreSQL isolado por scripts/start-prototype.ps1. Faltam validação visual/funcional e ensaio em máquina limpa. Evidência: docs/evidence/DEV-ENVIRONMENT-SETUP-2026-10-12.md.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0.6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Em andamento</x:v>
      </x:c>
      <x:c r="F33" s="18" t="n">
        <x:v>1</x:v>
      </x:c>
      <x:c r="G33" s="17" t="n">
        <x:v>0.4</x:v>
      </x:c>
      <x:c r="H33" s="12" t="str">
        <x:v>40%: o worker compõe serviços, limita conexão ao PostgreSQL e encerra de forma controlada; a saúde verifica conexão e quatro tabelas essenciais com códigos sanitizados. A CI 38383732688 passou nos quatro grupos e confirmou em PostgreSQL descartável a lista exata de leitura/escrita, bloqueio de exclusão e de gravação direta em RAW/auditoria, ausência de acessos por coluna ou sequências e execução somente da função de encerramento de versão RAW. Ainda faltam validar o provisionamento dessas permissões na instalação, a configuração de produção e a operação em VM limpa. Evidências: docs/evidence/WORKER-DATABASE-SCHEMA-READINESS-2026-10-13.md e docs/evidence/WORKER-RUNTIME-DATABASE-PRIVILEGES-2026-10-13.md.</x:v>
      </x:c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0.4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Em andamento</x:v>
      </x:c>
      <x:c r="F45" s="18" t="n">
        <x:v>1</x:v>
      </x:c>
      <x:c r="G45" s="17" t="n">
        <x:v>0.5</x:v>
      </x:c>
      <x:c r="H45" s="12" t="str">
        <x:v>50%: scheduler diário às 09:30 em America/Sao_Paulo, correlation_id estável, trava PostgreSQL entre instâncias e checkpoints duráveis das páginas Bling. Após interrupção, retoma da próxima página confirmada; publica RAW, encerra páginas antigas e atualiza cursor/sucesso em uma transação final. Falha mantém o retrato anterior e auditoria, com páginas confirmadas disponíveis para retry. Testes do pacote passaram em PostgreSQL 18 descartável com permissões runtime verificadas. Ainda faltam provar o fim da paginação na conta real, integrar o Drive, operar continuamente e homologar. docs/evidence/BLING-PAGE-CHECKPOINTS-2026-10-18.md</x:v>
      </x:c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0.5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0.78</x:v>
      </x:c>
      <x:c r="H47" s="12" t="str">
        <x:v>78%: GET/OAuth/DPAPI implementados. Fim desconhecido falha com segurança e preserva snapshot/cursor. Ainda faltam Client Secret real, autorização e integração dos dados aos relatórios.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0.78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Em andamento</x:v>
      </x:c>
      <x:c r="F48" s="18" t="n">
        <x:v>1</x:v>
      </x:c>
      <x:c r="G48" s="16" t="n">
        <x:v>0.58</x:v>
      </x:c>
      <x:c r="H48" s="12" t="str">
        <x:v>58% (estimativa): o núcleo GET do Drive lista e baixa em fluxo, mantém checkpoints/páginas e versões de metadados e publica o inventário de forma atômica. O worker agenda a listagem diária das três pastas às 09:30 quando IDs e credencial DPAPI estão configurados, com correlação estável por dia/pasta e falha independente por origem. Nesta atualização, `WithPrivateStage` grava o download verificado numa pasta temporária privada, expõe o conteúdo como `io.Reader` ao callback e limpa o temporário ao terminar; retry substitui bytes incompletos e erros de limpeza preservam caminho tipado sem expô-lo na mensagem comum. `go test ./... -count=1`, `go vet ./...`, `go mod verify`, verificação do backlog, limites Go e `git diff --check` passaram no Windows. O novo estágio ainda não foi ligado ao worker ou a importadores homologados. Ainda faltam contratos e amostras, credenciais/IDs reais, importação e homologação; XLS/XLSX continuam sem parser seguro. Evidências: docs/evidence/GOOGLE-DRIVE-READ-ADAPTER-2026-10-18.md, docs/evidence/GOOGLE-DRIVE-DAILY-WORKER-2026-10-18.md e docs/evidence/GOOGLE-DRIVE-PRIVATE-STAGING-2026-10-18.md.</x:v>
      </x:c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0.58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Em andamento</x:v>
      </x:c>
      <x:c r="F49" s="18" t="n">
        <x:v>1</x:v>
      </x:c>
      <x:c r="G49" s="17" t="n">
        <x:v>0.4</x:v>
      </x:c>
      <x:c r="H49" s="12" t="str">
        <x:v>40% mantido. Leitor XLSX isolado, testado com dados sintéticos, ainda não integrado ao Drive; XLS não suportado. Faltam integração, contrato das planilhas e homologação real. Nenhuma regra financeira foi alterada. Evidências: docs/evidence/DRIVE-STREAMING-IMPORT-2026-10-13.md e docs/evidence/EXCEL-STREAMING-PARSER-PROTOTYPE-2026-10-18.md.</x:v>
      </x:c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0.4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0.25</x:v>
      </x:c>
      <x:c r="H73" s="12" t="str">
        <x:v>25%: cards informativos EBIT, EBITDA e CAPEX permanecem no espaço aprovado, somente para consulta; CAPEX fica fora da tabela e do lucro. O backend ainda não traz valores reais para os cards; faltam homologar categorias/paginação, persistir e conciliar movimentações e fechar a DRE própria. Evidência: docs/evidence/CAPEX-REPORT-DATA-SOURCE-AUDIT-2026-10-11.md.</x:v>
      </x:c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§§2,5; API Bling v3: GET /caixas, GET /caixas/{idCaixa}, GET /categorias/receitas-despesas; docs/evidence/CAPEX-REPORT-STRUCTURE-REVIEW-2026-10-11.md</x:v>
      </x:c>
      <x:c r="M73" s="11" t="n">
        <x:f>IF(AND(E73="Concluída",H73&lt;&gt;""),F73,0)</x:f>
        <x:v>0</x:v>
      </x:c>
      <x:c r="N73" s="11" t="n">
        <x:f>F73*G73</x:f>
        <x:v>0.25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28773bd97d046e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e8dbd42da4400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ef3c1b566b0f4830"/>
  </x:tableParts>
</x:worksheet>
</file>