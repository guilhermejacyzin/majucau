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f0ea704d3043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9ffa37698abd4b09"/>
    <x:sheet xmlns:r="http://schemas.openxmlformats.org/officeDocument/2006/relationships" name="Tarefas" sheetId="2" r:id="R4774c27727de4927"/>
    <x:sheet xmlns:r="http://schemas.openxmlformats.org/officeDocument/2006/relationships" name="Decisoes" sheetId="3" r:id="R86ca7b5283c84d4e"/>
    <x:sheet xmlns:r="http://schemas.openxmlformats.org/officeDocument/2006/relationships" name="Cobertura" sheetId="4" r:id="R632a0339bb9841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 patternType="solid"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f21850a07143e0" /><Relationship Type="http://schemas.openxmlformats.org/officeDocument/2006/relationships/theme" Target="/xl/theme/theme1.xml" Id="Re75a7533cc4543f8" /><Relationship Type="http://schemas.openxmlformats.org/officeDocument/2006/relationships/sharedStrings" Target="/xl/sharedStrings.xml" Id="R84c65865f91644f5" /><Relationship Type="http://schemas.openxmlformats.org/officeDocument/2006/relationships/worksheet" Target="/xl/worksheets/sheet1.xml" Id="R9ffa37698abd4b09" /><Relationship Type="http://schemas.openxmlformats.org/officeDocument/2006/relationships/worksheet" Target="/xl/worksheets/sheet2.xml" Id="R4774c27727de4927" /><Relationship Type="http://schemas.openxmlformats.org/officeDocument/2006/relationships/worksheet" Target="/xl/worksheets/sheet3.xml" Id="R86ca7b5283c84d4e" /><Relationship Type="http://schemas.openxmlformats.org/officeDocument/2006/relationships/worksheet" Target="/xl/worksheets/sheet4.xml" Id="R632a0339bb984168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b617f7ee2554b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13ae6c7d144ec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f57fc35eebc4902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11/10/2026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5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0.07480314960629922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6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0.36875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0.03333333333333333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0.35714285714285715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0.04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0.014285714285714287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11/10/2026: 6 concluídas, 11 em andamento e 110 não iniciadas. Estimativa: 7,5%; restante: 92,5%.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Em andamento</x:v>
      </x:c>
      <x:c r="F7" s="18" t="n">
        <x:v>1</x:v>
      </x:c>
      <x:c r="G7" s="17" t="n">
        <x:v>0</x:v>
      </x:c>
      <x:c r="H7" s="12" t="str">
        <x:v>Extração existe em docs/planejamento/work/source_extract/: workbook.json representa 20 abas e manifest.json conserva 17 itens/hashes históricos. Os 17 binários originais não foram localizados; a correspondência da extração não foi comprovada. Aceite aguarda os originais ou aprovação da responsável.</x:v>
      </x:c>
      <x:c r="I7" s="11" t="str">
        <x:v>Produto + UX</x:v>
      </x:c>
      <x:c r="J7" s="11" t="str"/>
      <x:c r="K7" s="11" t="str">
        <x:v>Aguardar orientação sobre os originais: envio para arquivo privado local ou aceitação de hashes e extrações como suficientes.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0</x:v>
      </x:c>
      <x:c r="N7" s="11" t="n">
        <x:f>F7*G7</x:f>
        <x:v>0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0.1</x:v>
      </x:c>
      <x:c r="H18" s="12" t="str"/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0.1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0.15</x:v>
      </x:c>
      <x:c r="H19" s="12" t="str"/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0.15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18" t="n">
        <x:v>1</x:v>
      </x:c>
      <x:c r="G22" s="16" t="n"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IF(AND(E22="Concluída",H22&lt;&gt;""),F22,0)</x:f>
        <x:v>0</x:v>
      </x:c>
      <x:c r="N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18" t="n">
        <x:v>1</x:v>
      </x:c>
      <x:c r="G23" s="17" t="n"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</x:v>
      </x:c>
      <x:c r="H30" s="12" t="str">
        <x:v>Mapa e testes controlados em docs/evidence/THREAT-MODEL-INITIAL-2026-10-11.md. Testes de securetemp/csvstream, go vet e diff check locais passaram; CI #410 passou nos jobs backlog, Windows e PostgreSQL (Go, vet, análise de vulnerabilidades, builds, SBOM, smoke do instalador e consolidação). BK-024 continua em andamento: faltam outras falhas controladas, completar o mapa de riscos e validar VM limpa, rede e acesso por perfil.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Não iniciada</x:v>
      </x:c>
      <x:c r="F32" s="18" t="n">
        <x:v>1</x:v>
      </x:c>
      <x:c r="G32" s="16" t="n">
        <x:v>0</x:v>
      </x:c>
      <x:c r="H32" s="12" t="str"/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18" t="n">
        <x:v>1</x:v>
      </x:c>
      <x:c r="G33" s="17" t="n"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</x:v>
      </x:c>
      <x:c r="H37" s="12" t="str"/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0.6</x:v>
      </x:c>
      <x:c r="H47" s="12" t="str">
        <x:v>60% — filtros de situação por rota e falha segura quando a última página é desconhecida; evidência em docs/evidence/BLING-PAGINATION-CONTRACT-2026-10-11.md. Resposta e cursor da conta real seguem sem homologação.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0.6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18" t="n">
        <x:v>1</x:v>
      </x:c>
      <x:c r="G48" s="16" t="n"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18" t="n">
        <x:v>1</x:v>
      </x:c>
      <x:c r="G49" s="17" t="n"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Não iniciada</x:v>
      </x:c>
      <x:c r="F62" s="18" t="n">
        <x:v>1</x:v>
      </x:c>
      <x:c r="G62" s="16" t="n">
        <x:v>0</x:v>
      </x:c>
      <x:c r="H62" s="12" t="str"/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IF(AND(E73="Concluída",H73&lt;&gt;""),F73,0)</x:f>
        <x:v>0</x:v>
      </x:c>
      <x:c r="N73" s="11" t="n">
        <x:f>F73*G73</x:f>
        <x:v>0.2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Não iniciada</x:v>
      </x:c>
      <x:c r="F108" s="18" t="n">
        <x:v>1</x:v>
      </x:c>
      <x:c r="G108" s="16" t="n">
        <x:v>0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b617f7ee2554b2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13ae6c7d144ec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ff57fc35eebc4902"/>
  </x:tableParts>
</x:worksheet>
</file>