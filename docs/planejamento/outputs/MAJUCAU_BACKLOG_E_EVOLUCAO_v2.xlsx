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4d6c8c761540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85e2635a033c4b24"/>
    <x:sheet xmlns:r="http://schemas.openxmlformats.org/officeDocument/2006/relationships" name="Tarefas" sheetId="2" r:id="Raf559c0e99b345ee"/>
    <x:sheet xmlns:r="http://schemas.openxmlformats.org/officeDocument/2006/relationships" name="Decisoes" sheetId="3" r:id="R6add47113ffe49db"/>
    <x:sheet xmlns:r="http://schemas.openxmlformats.org/officeDocument/2006/relationships" name="Cobertura" sheetId="4" r:id="R2525127df7c949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0" fontId="4" fillId="2" borderId="0" xfId="0" applyAlignment="1">
      <x:alignment vertical="center"/>
    </x:xf>
    <x:xf numFmtId="0" fontId="4" fillId="2" borderId="0" xfId="0" applyAlignment="1">
      <x:alignment vertical="center" wrapText="1"/>
    </x:xf>
    <x:xf numFmtId="0" fontId="4" fillId="2" borderId="0" xfId="0" applyAlignment="1">
      <x:alignment horizontal="center" vertical="center" wrapText="1"/>
    </x:xf>
    <x:xf numFmtId="0" fontId="1" fillId="3" borderId="0" xfId="0" applyAlignment="1">
      <x:alignment vertical="center"/>
    </x:xf>
    <x:xf numFmtId="0" fontId="1" fillId="3" borderId="0" xfId="0" applyAlignment="1">
      <x:alignment vertical="center" wrapText="1"/>
    </x:xf>
    <x:xf numFmtId="0" fontId="1" fillId="0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4" borderId="0" xfId="0" applyAlignment="1">
      <x:alignment horizontal="right" vertical="center" wrapText="1"/>
    </x:xf>
    <x:xf numFmtId="0" fontId="1" fillId="3" borderId="0" xfId="0" applyAlignment="1">
      <x:alignment horizontal="right" vertical="center" wrapText="1"/>
    </x:xf>
    <x:xf numFmtId="0" fontId="1" fillId="0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  <x:xf numFmtId="1" fontId="1" fillId="4" borderId="0" xfId="0" applyAlignment="1">
      <x:alignment horizontal="right" vertical="center" wrapText="1"/>
    </x:xf>
    <x:xf numFmtId="164" fontId="1" fillId="0" borderId="0" xfId="0" applyAlignment="1">
      <x:alignment vertical="center"/>
    </x:xf>
    <x:xf numFmtId="0" fontId="1" fillId="0" borderId="0" xfId="0" applyAlignment="1">
      <x:alignment horizontal="right" vertical="center"/>
    </x:xf>
    <x:xf numFmtId="164" fontId="1" fillId="0" borderId="0" xfId="0" applyAlignment="1">
      <x:alignment horizontal="right" vertical="center"/>
    </x:xf>
    <x:xf numFmtId="0" fontId="5" fillId="0" borderId="0" xfId="0" applyAlignment="1">
      <x:alignment horizontal="right" vertical="center"/>
    </x:xf>
    <x:xf numFmtId="164" fontId="5" fillId="0" borderId="0" xfId="0" applyAlignment="1">
      <x:alignment horizontal="right" vertical="center"/>
    </x:xf>
    <x:xf numFmtId="0" fontId="6" fillId="0" borderId="0" xfId="0" applyAlignment="1">
      <x:alignment vertical="center"/>
    </x:xf>
    <x:xf numFmtId="9" fontId="1" fillId="0" borderId="0" xfId="0" applyAlignment="1">
      <x:alignment vertical="center"/>
    </x:xf>
    <x:xf numFmtId="9" fontId="1" fillId="3" borderId="0" xfId="0" applyAlignment="1">
      <x:alignment vertical="center"/>
    </x:xf>
    <x:xf numFmtId="164" fontId="5" fillId="0" borderId="0" xfId="0" applyAlignment="1">
      <x:alignment horizontal="right" vertical="center"/>
    </x:xf>
    <x:xf numFmtId="9" fontId="1" fillId="3" borderId="0" xfId="0" applyAlignment="1">
      <x:alignment vertical="center"/>
    </x:xf>
    <x:xf numFmtId="9" fontId="1" fillId="0" borderId="0" xfId="0" applyAlignment="1">
      <x:alignment vertical="center"/>
    </x:xf>
    <x:xf numFmtId="1" fontId="1" fillId="4" borderId="0" xfId="0" applyAlignment="1">
      <x:alignment horizontal="right" vertical="center" wrapText="1"/>
    </x:xf>
    <x:xf numFmtId="9" fontId="1" fillId="3" borderId="0" xfId="0" applyAlignment="1">
      <x:alignment horizontal="right" vertical="center" wrapText="1"/>
    </x:xf>
    <x:xf numFmtId="9" fontId="1" fillId="0" borderId="0" xfId="0" applyAlignment="1">
      <x:alignment horizontal="right" vertical="center" wrapText="1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ea6ce2afbc4b5a" /><Relationship Type="http://schemas.openxmlformats.org/officeDocument/2006/relationships/theme" Target="/xl/theme/theme1.xml" Id="Rb27f6926235f4f96" /><Relationship Type="http://schemas.openxmlformats.org/officeDocument/2006/relationships/sharedStrings" Target="/xl/sharedStrings.xml" Id="R25ba7256f44745a7" /><Relationship Type="http://schemas.openxmlformats.org/officeDocument/2006/relationships/worksheet" Target="/xl/worksheets/sheet1.xml" Id="R85e2635a033c4b24" /><Relationship Type="http://schemas.openxmlformats.org/officeDocument/2006/relationships/worksheet" Target="/xl/worksheets/sheet2.xml" Id="Raf559c0e99b345ee" /><Relationship Type="http://schemas.openxmlformats.org/officeDocument/2006/relationships/worksheet" Target="/xl/worksheets/sheet3.xml" Id="R6add47113ffe49db" /><Relationship Type="http://schemas.openxmlformats.org/officeDocument/2006/relationships/worksheet" Target="/xl/worksheets/sheet4.xml" Id="R2525127df7c94921" /></Relationships>
</file>

<file path=xl/tables/table1.xml><?xml version="1.0" encoding="utf-8"?>
<x:table xmlns:x="http://schemas.openxmlformats.org/spreadsheetml/2006/main" id="1" name="MajucauTarefas" displayName="MajucauTarefas" ref="A5:M132" headerRowCount="1" totalsRowCount="0" totalsRowShown="0">
  <x:tableColumns count="13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ncluí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adaebe5b9749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77f6f26ffc41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ed378c258b24ae6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baseColWidth="8" defaultRowHeight="15"/>
  <x:cols>
    <x:col min="1" max="1" width="36.880001068115234" customWidth="1"/>
    <x:col min="2" max="2" width="15.630000114440918" customWidth="1"/>
    <x:col min="3" max="3" width="21.25" customWidth="1"/>
    <x:col min="4" max="4" width="3.5" customWidth="1"/>
    <x:col min="5" max="5" width="42.5" customWidth="1"/>
    <x:col min="6" max="6" width="37.5" customWidth="1"/>
    <x:col min="7" max="7" width="18.7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</x:row>
    <x:row r="2" ht="28" customHeight="1">
      <x:c r="A2" s="3" t="inlineStr">
        <x:is>
          <x:t xml:space="preserve">Majucau — evolução do backlog</x:t>
        </x:is>
      </x:c>
      <x:c r="B2" s="2" t="n"/>
      <x:c r="C2" s="2" t="n"/>
      <x:c r="D2" s="2" t="n"/>
      <x:c r="E2" s="2" t="n"/>
      <x:c r="F2" s="2" t="n"/>
      <x:c r="G2" s="2" t="n"/>
    </x:row>
    <x:row r="3" ht="28" customHeight="1">
      <x:c r="A3" s="4" t="str">
        <x:v>Status atualizado em 11/10/2026 | fechamento funcional de 13/09/2026</x:v>
      </x:c>
      <x:c r="B3" s="2" t="n"/>
      <x:c r="C3" s="2" t="n"/>
      <x:c r="D3" s="2" t="n"/>
      <x:c r="E3" s="2" t="n"/>
      <x:c r="F3" s="2" t="n"/>
      <x:c r="G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Medida</x:t>
        </x:is>
      </x:c>
      <x:c r="B5" s="8" t="inlineStr">
        <x:is>
          <x:t xml:space="preserve">Valor</x:t>
        </x:is>
      </x:c>
      <x:c r="C5" s="8" t="inlineStr">
        <x:is>
          <x:t xml:space="preserve">Interpretação</x:t>
        </x:is>
      </x:c>
      <x:c r="D5" s="2" t="n"/>
      <x:c r="E5" s="8" t="inlineStr">
        <x:is>
          <x:t xml:space="preserve">Decisões já recebidas</x:t>
        </x:is>
      </x:c>
      <x:c r="F5" s="8" t="str"/>
      <x:c r="G5" s="8" t="str"/>
    </x:row>
    <x:row r="6" ht="30" customHeight="1">
      <x:c r="A6" s="2" t="inlineStr">
        <x:is>
          <x:t xml:space="preserve">Tarefas no catálogo</x:t>
        </x:is>
      </x:c>
      <x:c r="B6" s="22" t="n">
        <x:v>127</x:v>
      </x:c>
      <x:c r="C6" s="11" t="inlineStr">
        <x:is>
          <x:t xml:space="preserve">Escopo provisório</x:t>
        </x:is>
      </x:c>
      <x:c r="D6" s="2" t="n"/>
      <x:c r="E6" s="2" t="inlineStr">
        <x:is>
          <x:t xml:space="preserve">Empresa</x:t>
        </x:is>
      </x:c>
      <x:c r="F6" s="2" t="inlineStr">
        <x:is>
          <x:t xml:space="preserve">Somente Majucau</x:t>
        </x:is>
      </x:c>
      <x:c r="G6" s="2" t="n"/>
    </x:row>
    <x:row r="7" ht="30" customHeight="1">
      <x:c r="A7" s="2" t="inlineStr">
        <x:is>
          <x:t xml:space="preserve">Levantamentos concluídos</x:t>
        </x:is>
      </x:c>
      <x:c r="B7" s="22" t="n">
        <x:f>COUNTIFS('Tarefas'!$D$6:$D$132,"Planejamento",'Tarefas'!$G$6:$G$132,1)</x:f>
        <x:v>5</x:v>
      </x:c>
      <x:c r="C7" s="11" t="inlineStr">
        <x:is>
          <x:t xml:space="preserve">Com evidência</x:t>
        </x:is>
      </x:c>
      <x:c r="D7" s="2" t="n"/>
      <x:c r="E7" s="2" t="inlineStr">
        <x:is>
          <x:t xml:space="preserve">Usuários</x:t>
        </x:is>
      </x:c>
      <x:c r="F7" s="2" t="inlineStr">
        <x:is>
          <x:t xml:space="preserve">3 diretores</x:t>
        </x:is>
      </x:c>
      <x:c r="G7" s="2" t="n"/>
    </x:row>
    <x:row r="8" ht="30" customHeight="1">
      <x:c r="A8" s="2" t="inlineStr">
        <x:is>
          <x:t xml:space="preserve">Conclusão por peso</x:t>
        </x:is>
      </x:c>
      <x:c r="B8" s="27" t="n">
        <x:f>SUM('Tarefas'!$M$6:$M$132)/SUM('Tarefas'!$F$6:$F$132)</x:f>
        <x:v>0.03937007874015748</x:v>
      </x:c>
      <x:c r="C8" s="11" t="inlineStr">
        <x:is>
          <x:t xml:space="preserve">Peso inicial = 1</x:t>
        </x:is>
      </x:c>
      <x:c r="D8" s="2" t="n"/>
      <x:c r="E8" s="2" t="inlineStr">
        <x:is>
          <x:t xml:space="preserve">Hospedagem</x:t>
        </x:is>
      </x:c>
      <x:c r="F8" s="2" t="inlineStr">
        <x:is>
          <x:t xml:space="preserve">Atual local; destino privado centralizado</x:t>
        </x:is>
      </x:c>
      <x:c r="G8" s="2" t="n"/>
    </x:row>
    <x:row r="9" ht="30" customHeight="1">
      <x:c r="A9" s="2" t="inlineStr">
        <x:is>
          <x:t xml:space="preserve">Tarefas de desenvolvimento concluídas</x:t>
        </x:is>
      </x:c>
      <x:c r="B9" s="27" t="n">
        <x:f>SUMIFS('Tarefas'!$M$6:$M$132,'Tarefas'!$D$6:$D$132,"Desenvolvimento")/SUMIFS('Tarefas'!$F$6:$F$132,'Tarefas'!$D$6:$D$132,"Desenvolvimento")</x:f>
        <x:v>0</x:v>
      </x:c>
      <x:c r="C9" s="11" t="inlineStr">
        <x:is>
          <x:t xml:space="preserve">Com evidência no rastreador</x:t>
        </x:is>
      </x:c>
      <x:c r="D9" s="2" t="n"/>
      <x:c r="E9" s="2" t="inlineStr">
        <x:is>
          <x:t xml:space="preserve">Primeira produção</x:t>
        </x:is>
      </x:c>
      <x:c r="F9" s="2" t="inlineStr">
        <x:is>
          <x:t xml:space="preserve">Todos os módulos confirmados</x:t>
        </x:is>
      </x:c>
      <x:c r="G9" s="2" t="n"/>
    </x:row>
    <x:row r="10" ht="30" customHeight="1">
      <x:c r="A10" s="2" t="inlineStr">
        <x:is>
          <x:t xml:space="preserve">Frentes técnicas</x:t>
        </x:is>
      </x:c>
      <x:c r="B10" s="22" t="n">
        <x:f>COUNTIFS('Decisoes'!$I$6:$I$113,"Homologação técnica")</x:f>
        <x:v>10</x:v>
      </x:c>
      <x:c r="C10" s="11" t="inlineStr">
        <x:is>
          <x:t xml:space="preserve">HT: execução futura</x:t>
        </x:is>
      </x:c>
      <x:c r="D10" s="2" t="n"/>
      <x:c r="E10" s="2" t="inlineStr">
        <x:is>
          <x:t xml:space="preserve">Pagamento diferente</x:t>
        </x:is>
      </x:c>
      <x:c r="F10" s="2" t="inlineStr">
        <x:is>
          <x:t xml:space="preserve">Divergência, sem baixa</x:t>
        </x:is>
      </x:c>
      <x:c r="G10" s="2" t="n"/>
    </x:row>
    <x:row r="11" ht="30" customHeight="1">
      <x:c r="A11" s="2" t="n"/>
      <x:c r="B11" s="2" t="n"/>
      <x:c r="C11" s="2" t="n"/>
      <x:c r="D11" s="2" t="n"/>
      <x:c r="E11" s="2" t="inlineStr">
        <x:is>
          <x:t xml:space="preserve">Semana crítica</x:t>
        </x:is>
      </x:c>
      <x:c r="F11" s="2" t="inlineStr">
        <x:is>
          <x:t xml:space="preserve">Maior total de despesas</x:t>
        </x:is>
      </x:c>
      <x:c r="G11" s="2" t="n"/>
    </x:row>
    <x:row r="12" ht="30" customHeight="1">
      <x:c r="A12" s="24" t="inlineStr">
        <x:is>
          <x:t xml:space="preserve">Avanço por fase</x:t>
        </x:is>
      </x:c>
      <x:c r="B12" s="2" t="n"/>
      <x:c r="C12" s="2" t="n"/>
      <x:c r="D12" s="2" t="n"/>
      <x:c r="E12" s="2" t="inlineStr">
        <x:is>
          <x:t xml:space="preserve">DRE</x:t>
        </x:is>
      </x:c>
      <x:c r="F12" s="2" t="inlineStr">
        <x:is>
          <x:t xml:space="preserve">Calculada pelo Majucau; Bling para comparação</x:t>
        </x:is>
      </x:c>
      <x:c r="G12" s="2" t="n"/>
    </x:row>
    <x:row r="13" ht="30" customHeight="1">
      <x:c r="A13" s="8" t="inlineStr">
        <x:is>
          <x:t xml:space="preserve">Fase</x:t>
        </x:is>
      </x:c>
      <x:c r="B13" s="8" t="inlineStr">
        <x:is>
          <x:t xml:space="preserve">Tarefas</x:t>
        </x:is>
      </x:c>
      <x:c r="C13" s="8" t="inlineStr">
        <x:is>
          <x:t xml:space="preserve">Concluído</x:t>
        </x:is>
      </x:c>
      <x:c r="D13" s="2" t="n"/>
      <x:c r="E13" s="2" t="inlineStr">
        <x:is>
          <x:t xml:space="preserve">Cards EBIT/EBITDA</x:t>
        </x:is>
      </x:c>
      <x:c r="F13" s="2" t="inlineStr">
        <x:is>
          <x:t xml:space="preserve">No lugar do card inferior UNMAPPED</x:t>
        </x:is>
      </x:c>
      <x:c r="G13" s="2" t="n"/>
    </x:row>
    <x:row r="14" ht="30" customHeight="1">
      <x:c r="A14" s="9" t="inlineStr">
        <x:is>
          <x:t xml:space="preserve">00 Descoberta e decisões</x:t>
        </x:is>
      </x:c>
      <x:c r="B14" s="9" t="n">
        <x:f>COUNTIFS('Tarefas'!$B$6:$B$132,A14)</x:f>
        <x:v>16</x:v>
      </x:c>
      <x:c r="C14" s="28" t="n">
        <x:f>SUMIFS('Tarefas'!$M$6:$M$132,'Tarefas'!$B$6:$B$132,A14)/SUMIFS('Tarefas'!$F$6:$F$132,'Tarefas'!$B$6:$B$132,A14)</x:f>
        <x:v>0.3125</x:v>
      </x:c>
      <x:c r="D14" s="2" t="n"/>
      <x:c r="E14" s="2" t="inlineStr">
        <x:is>
          <x:t xml:space="preserve">Cards CAPEX</x:t>
        </x:is>
      </x:c>
      <x:c r="F14" s="2" t="inlineStr">
        <x:is>
          <x:t xml:space="preserve">Pago no mês e acumulado; fora do lucro</x:t>
        </x:is>
      </x:c>
      <x:c r="G14" s="2" t="n"/>
    </x:row>
    <x:row r="15" ht="30" customHeight="1">
      <x:c r="A15" s="2" t="inlineStr">
        <x:is>
          <x:t xml:space="preserve">01 Arquitetura e UX</x:t>
        </x:is>
      </x:c>
      <x:c r="B15" s="2" t="n">
        <x:f>COUNTIFS('Tarefas'!$B$6:$B$132,A15)</x:f>
        <x:v>9</x:v>
      </x:c>
      <x:c r="C15" s="29" t="n">
        <x:f>SUMIFS('Tarefas'!$M$6:$M$132,'Tarefas'!$B$6:$B$132,A15)/SUMIFS('Tarefas'!$F$6:$F$132,'Tarefas'!$B$6:$B$132,A15)</x:f>
        <x:v>0</x:v>
      </x:c>
      <x:c r="D15" s="2" t="n"/>
      <x:c r="E15" s="2" t="inlineStr">
        <x:is>
          <x:t xml:space="preserve">Balanço Patrimonial</x:t>
        </x:is>
      </x:c>
      <x:c r="F15" s="2" t="inlineStr">
        <x:is>
          <x:t xml:space="preserve">Fora do escopo</x:t>
        </x:is>
      </x:c>
      <x:c r="G15" s="2" t="n"/>
    </x:row>
    <x:row r="16" ht="30" customHeight="1">
      <x:c r="A16" s="9" t="inlineStr">
        <x:is>
          <x:t xml:space="preserve">02 Fundação do projeto</x:t>
        </x:is>
      </x:c>
      <x:c r="B16" s="9" t="n">
        <x:f>COUNTIFS('Tarefas'!$B$6:$B$132,A16)</x:f>
        <x:v>7</x:v>
      </x:c>
      <x:c r="C16" s="28" t="n">
        <x:f>SUMIFS('Tarefas'!$M$6:$M$132,'Tarefas'!$B$6:$B$132,A16)/SUMIFS('Tarefas'!$F$6:$F$132,'Tarefas'!$B$6:$B$132,A16)</x:f>
        <x:v>0</x:v>
      </x:c>
      <x:c r="D16" s="2" t="n"/>
      <x:c r="E16" s="2" t="inlineStr">
        <x:is>
          <x:t xml:space="preserve">Referências</x:t>
        </x:is>
      </x:c>
      <x:c r="F16" s="2" t="inlineStr">
        <x:is>
          <x:t xml:space="preserve">Última versão aprovada</x:t>
        </x:is>
      </x:c>
      <x:c r="G16" s="2" t="n"/>
    </x:row>
    <x:row r="17" ht="30" customHeight="1">
      <x:c r="A17" s="2" t="inlineStr">
        <x:is>
          <x:t xml:space="preserve">03 Identidade e configurações</x:t>
        </x:is>
      </x:c>
      <x:c r="B17" s="2" t="n">
        <x:f>COUNTIFS('Tarefas'!$B$6:$B$132,A17)</x:f>
        <x:v>6</x:v>
      </x:c>
      <x:c r="C17" s="29" t="n">
        <x:f>SUMIFS('Tarefas'!$M$6:$M$132,'Tarefas'!$B$6:$B$132,A17)/SUMIFS('Tarefas'!$F$6:$F$132,'Tarefas'!$B$6:$B$132,A17)</x:f>
        <x:v>0</x:v>
      </x:c>
      <x:c r="D17" s="2" t="n"/>
      <x:c r="E17" s="24" t="inlineStr">
        <x:is>
          <x:t xml:space="preserve">Como atualizar</x:t>
        </x:is>
      </x:c>
      <x:c r="F17" s="2" t="n"/>
      <x:c r="G17" s="2" t="n"/>
    </x:row>
    <x:row r="18" ht="29" customHeight="1">
      <x:c r="A18" s="9" t="inlineStr">
        <x:is>
          <x:t xml:space="preserve">04 Dados e integrações</x:t>
        </x:is>
      </x:c>
      <x:c r="B18" s="9" t="n">
        <x:f>COUNTIFS('Tarefas'!$B$6:$B$132,A18)</x:f>
        <x:v>15</x:v>
      </x:c>
      <x:c r="C18" s="28" t="n">
        <x:f>SUMIFS('Tarefas'!$M$6:$M$132,'Tarefas'!$B$6:$B$132,A18)/SUMIFS('Tarefas'!$F$6:$F$132,'Tarefas'!$B$6:$B$132,A18)</x:f>
        <x:v>0</x:v>
      </x:c>
      <x:c r="D18" s="2" t="n"/>
      <x:c r="E18" s="2" t="inlineStr">
        <x:is>
          <x:t xml:space="preserve">Na aba Tarefas, atualize Situação e Evidência de aceite.</x:t>
        </x:is>
      </x:c>
      <x:c r="F18" s="2" t="n"/>
      <x:c r="G18" s="2" t="n"/>
    </x:row>
    <x:row r="19" ht="29" customHeight="1">
      <x:c r="A19" s="2" t="inlineStr">
        <x:is>
          <x:t xml:space="preserve">05 Tesouraria e conciliação</x:t>
        </x:is>
      </x:c>
      <x:c r="B19" s="2" t="n">
        <x:f>COUNTIFS('Tarefas'!$B$6:$B$132,A19)</x:f>
        <x:v>10</x:v>
      </x:c>
      <x:c r="C19" s="29" t="n">
        <x:f>SUMIFS('Tarefas'!$M$6:$M$132,'Tarefas'!$B$6:$B$132,A19)/SUMIFS('Tarefas'!$F$6:$F$132,'Tarefas'!$B$6:$B$132,A19)</x:f>
        <x:v>0</x:v>
      </x:c>
      <x:c r="D19" s="2" t="n"/>
      <x:c r="E19" s="2" t="inlineStr">
        <x:is>
          <x:t xml:space="preserve">Concluída + evidência preenchida produz 100% na tarefa.</x:t>
        </x:is>
      </x:c>
      <x:c r="F19" s="2" t="n"/>
      <x:c r="G19" s="2" t="n"/>
    </x:row>
    <x:row r="20" ht="29" customHeight="1">
      <x:c r="A20" s="9" t="inlineStr">
        <x:is>
          <x:t xml:space="preserve">06 Resultados, perdas e aplicações</x:t>
        </x:is>
      </x:c>
      <x:c r="B20" s="9" t="n">
        <x:f>COUNTIFS('Tarefas'!$B$6:$B$132,A20)</x:f>
        <x:v>14</x:v>
      </x:c>
      <x:c r="C20" s="28" t="n">
        <x:f>SUMIFS('Tarefas'!$M$6:$M$132,'Tarefas'!$B$6:$B$132,A20)/SUMIFS('Tarefas'!$F$6:$F$132,'Tarefas'!$B$6:$B$132,A20)</x:f>
        <x:v>0</x:v>
      </x:c>
      <x:c r="D20" s="2" t="n"/>
      <x:c r="E20" s="2" t="inlineStr">
        <x:is>
          <x:t xml:space="preserve">Em andamento indica atividade; não conta como entrega concluída.</x:t>
        </x:is>
      </x:c>
      <x:c r="F20" s="2" t="n"/>
      <x:c r="G20" s="2" t="n"/>
    </x:row>
    <x:row r="21" ht="29" customHeight="1">
      <x:c r="A21" s="2" t="inlineStr">
        <x:is>
          <x:t xml:space="preserve">07 Estoque, produção e compras</x:t>
        </x:is>
      </x:c>
      <x:c r="B21" s="2" t="n">
        <x:f>COUNTIFS('Tarefas'!$B$6:$B$132,A21)</x:f>
        <x:v>10</x:v>
      </x:c>
      <x:c r="C21" s="29" t="n">
        <x:f>SUMIFS('Tarefas'!$M$6:$M$132,'Tarefas'!$B$6:$B$132,A21)/SUMIFS('Tarefas'!$F$6:$F$132,'Tarefas'!$B$6:$B$132,A21)</x:f>
        <x:v>0</x:v>
      </x:c>
      <x:c r="D21" s="2" t="n"/>
      <x:c r="E21" s="2" t="inlineStr">
        <x:is>
          <x:t xml:space="preserve">Peso inicial 1 mede quantidade, sem estimativa de esforço.</x:t>
        </x:is>
      </x:c>
      <x:c r="F21" s="2" t="n"/>
      <x:c r="G21" s="2" t="n"/>
    </x:row>
    <x:row r="22" ht="29" customHeight="1">
      <x:c r="A22" s="9" t="inlineStr">
        <x:is>
          <x:t xml:space="preserve">08 Projeções e cenários</x:t>
        </x:is>
      </x:c>
      <x:c r="B22" s="9" t="n">
        <x:f>COUNTIFS('Tarefas'!$B$6:$B$132,A22)</x:f>
        <x:v>11</x:v>
      </x:c>
      <x:c r="C22" s="28" t="n">
        <x:f>SUMIFS('Tarefas'!$M$6:$M$132,'Tarefas'!$B$6:$B$132,A22)/SUMIFS('Tarefas'!$F$6:$F$132,'Tarefas'!$B$6:$B$132,A22)</x:f>
        <x:v>0</x:v>
      </x:c>
      <x:c r="D22" s="2" t="n"/>
      <x:c r="E22" s="2" t="inlineStr">
        <x:is>
          <x:t xml:space="preserve">Após estimar com a equipe, revise os pesos e registre a mudança.</x:t>
        </x:is>
      </x:c>
      <x:c r="F22" s="2" t="n"/>
      <x:c r="G22" s="2" t="n"/>
    </x:row>
    <x:row r="23" ht="29" customHeight="1">
      <x:c r="A23" s="2" t="inlineStr">
        <x:is>
          <x:t xml:space="preserve">09 Controle e visão executiva</x:t>
        </x:is>
      </x:c>
      <x:c r="B23" s="2" t="n">
        <x:f>COUNTIFS('Tarefas'!$B$6:$B$132,A23)</x:f>
        <x:v>6</x:v>
      </x:c>
      <x:c r="C23" s="29" t="n">
        <x:f>SUMIFS('Tarefas'!$M$6:$M$132,'Tarefas'!$B$6:$B$132,A23)/SUMIFS('Tarefas'!$F$6:$F$132,'Tarefas'!$B$6:$B$132,A23)</x:f>
        <x:v>0</x:v>
      </x:c>
      <x:c r="D23" s="2" t="n"/>
      <x:c r="E23" s="2" t="inlineStr">
        <x:is>
          <x:t xml:space="preserve">As fórmulas consideram todas as linhas atuais, mesmo filtradas.</x:t>
        </x:is>
      </x:c>
      <x:c r="F23" s="2" t="n"/>
      <x:c r="G23" s="2" t="n"/>
    </x:row>
    <x:row r="24" ht="29" customHeight="1">
      <x:c r="A24" s="9" t="inlineStr">
        <x:is>
          <x:t xml:space="preserve">10 Verificação integrada</x:t>
        </x:is>
      </x:c>
      <x:c r="B24" s="9" t="n">
        <x:f>COUNTIFS('Tarefas'!$B$6:$B$132,A24)</x:f>
        <x:v>10</x:v>
      </x:c>
      <x:c r="C24" s="28" t="n">
        <x:f>SUMIFS('Tarefas'!$M$6:$M$132,'Tarefas'!$B$6:$B$132,A24)/SUMIFS('Tarefas'!$F$6:$F$132,'Tarefas'!$B$6:$B$132,A24)</x:f>
        <x:v>0</x:v>
      </x:c>
      <x:c r="D24" s="2" t="n"/>
      <x:c r="E24" s="2" t="inlineStr">
        <x:is>
          <x:t xml:space="preserve">Ao incluir tarefas, ampliar tabela e fórmulas de resumo.</x:t>
        </x:is>
      </x:c>
      <x:c r="F24" s="2" t="n"/>
      <x:c r="G24" s="2" t="n"/>
    </x:row>
    <x:row r="25" ht="29" customHeight="1">
      <x:c r="A25" s="2" t="inlineStr">
        <x:is>
          <x:t xml:space="preserve">11 Instalação, produção e sustentação</x:t>
        </x:is>
      </x:c>
      <x:c r="B25" s="2" t="n">
        <x:f>COUNTIFS('Tarefas'!$B$6:$B$132,A25)</x:f>
        <x:v>13</x:v>
      </x:c>
      <x:c r="C25" s="29" t="n">
        <x:f>SUMIFS('Tarefas'!$M$6:$M$132,'Tarefas'!$B$6:$B$132,A25)/SUMIFS('Tarefas'!$F$6:$F$132,'Tarefas'!$B$6:$B$132,A25)</x:f>
        <x:v>0</x:v>
      </x:c>
      <x:c r="D25" s="2" t="n"/>
      <x:c r="E25" s="2" t="inlineStr">
        <x:is>
          <x:t xml:space="preserve">Percentual do controle; não mede a conclusão real do produto.</x:t>
        </x:is>
      </x:c>
      <x:c r="F25" s="2" t="n"/>
      <x:c r="G25" s="2" t="n"/>
    </x:row>
    <x:row r="26" ht="29" customHeight="1">
      <x:c r="A26" s="2" t="n"/>
      <x:c r="B26" s="2" t="n"/>
      <x:c r="C26" s="2" t="n"/>
      <x:c r="D26" s="2" t="n"/>
      <x:c r="E26" s="2" t="inlineStr">
        <x:is>
          <x:t xml:space="preserve">Detalhamento passo a passo fica no documento pelo ID BK.</x:t>
        </x:is>
      </x:c>
      <x:c r="F26" s="2" t="n"/>
      <x:c r="G26" s="2" t="n"/>
    </x:row>
    <x:row r="27" ht="29" customHeight="1">
      <x:c r="A27" s="2" t="n"/>
      <x:c r="B27" s="2" t="n"/>
      <x:c r="C27" s="2" t="n"/>
      <x:c r="D27" s="2" t="n"/>
      <x:c r="E27" s="2" t="inlineStr">
        <x:is>
          <x:t xml:space="preserve">Não existe atualização automática de atividade no GitHub.</x:t>
        </x:is>
      </x:c>
      <x:c r="F27" s="2" t="n"/>
      <x:c r="G27" s="2" t="n"/>
    </x:row>
    <x:row r="28" ht="28" customHeight="1">
      <x:c r="A28" s="2" t="inlineStr">
        <x:is>
          <x:t xml:space="preserve">Responsáveis são papéis sugeridos; prazo e esforço aguardam a equipe.</x:t>
        </x:is>
      </x:c>
      <x:c r="B28" s="2" t="n"/>
      <x:c r="C28" s="2" t="n"/>
      <x:c r="D28" s="2" t="n"/>
      <x:c r="E28" s="2" t="n"/>
      <x:c r="F28" s="2" t="n"/>
      <x:c r="G28" s="2" t="n"/>
    </x:row>
    <x:row r="29" ht="28" customHeight="1">
      <x:c r="A29" s="2" t="n"/>
      <x:c r="B29" s="2" t="n"/>
      <x:c r="C29" s="2" t="n"/>
      <x:c r="D29" s="2" t="n"/>
      <x:c r="E29" s="2" t="n"/>
      <x:c r="F29" s="2" t="n"/>
      <x:c r="G29" s="2" t="n"/>
    </x:row>
    <x:row r="30" ht="28" customHeight="1">
      <x:c r="A30" s="4" t="inlineStr">
        <x:is>
          <x:t xml:space="preserve">Fonte: imagens e planilha MAJUCAU_CONSOLIDACAO_DEV_GATE_RC3_CEI_CONFIGURACOES_T16_T17.xlsx fornecidas pelo usuário.</x:t>
        </x:is>
      </x:c>
      <x:c r="B30" s="2" t="n"/>
      <x:c r="C30" s="2" t="n"/>
      <x:c r="D30" s="2" t="n"/>
      <x:c r="E30" s="2" t="n"/>
      <x:c r="F30" s="2" t="n"/>
      <x:c r="G30" s="2" t="n"/>
    </x:row>
    <x:row r="31" ht="28" customHeight="1">
      <x:c r="A31" s="4" t="inlineStr">
        <x:is>
          <x:t xml:space="preserve">Fechamento de 13/09/2026; decisões posteriores registradas no G0-DECISION-REGISTER.md até 10/10/2026.</x:t>
        </x:is>
      </x:c>
      <x:c r="B31" s="2" t="n"/>
      <x:c r="C31" s="2" t="n"/>
      <x:c r="D31" s="2" t="n"/>
      <x:c r="E31" s="2" t="n"/>
      <x:c r="F31" s="2" t="n"/>
      <x:c r="G31" s="2" t="n"/>
    </x:row>
    <x:row r="32" ht="28" customHeight="1">
      <x:c r="A32" s="2" t="n"/>
      <x:c r="B32" s="2" t="n"/>
      <x:c r="C32" s="2" t="n"/>
      <x:c r="D32" s="2" t="n"/>
      <x:c r="E32" s="2" t="n"/>
      <x:c r="F32" s="2" t="n"/>
      <x:c r="G32" s="2" t="n"/>
    </x:row>
    <x:row r="33" ht="28" customHeight="1">
      <x:c r="A33" s="2" t="str">
        <x:v>BK-000 e BK-004 auditadas em 10–11/10; 125 tarefas ainda aguardam revisão. Regra definida não equivale a implementação concluída.</x:v>
      </x:c>
      <x:c r="B33" s="2" t="n"/>
      <x:c r="C33" s="2" t="n"/>
      <x:c r="D33" s="2" t="n"/>
      <x:c r="E33" s="2" t="n"/>
      <x:c r="F33" s="2" t="n"/>
      <x:c r="G33" s="2" t="n"/>
    </x:row>
    <x:row r="34" ht="28" customHeight="1">
      <x:c r="A34" s="2" t="inlineStr">
        <x:is>
          <x:t xml:space="preserve">D-1: análise/conciliação normal até ontem; agenda futura continua na projeção.</x:t>
        </x:is>
      </x:c>
      <x:c r="B34" s="2" t="n"/>
      <x:c r="C34" s="2" t="n"/>
      <x:c r="D34" s="2" t="n"/>
      <x:c r="E34" s="2" t="n"/>
      <x:c r="F34" s="2" t="n"/>
      <x:c r="G34" s="2" t="n"/>
    </x:row>
    <x:row r="35" ht="28" customHeight="1">
      <x:c r="A35" s="2" t="inlineStr">
        <x:is>
          <x:t xml:space="preserve">Nenhuma regra foi reaberta nesta auditoria. Paginação do Bling e outras pendências técnicas continuam em verificação.</x:t>
        </x:is>
      </x:c>
      <x:c r="B35" s="2" t="n"/>
      <x:c r="C35" s="2" t="n"/>
      <x:c r="D35" s="2" t="n"/>
      <x:c r="E35" s="2" t="n"/>
      <x:c r="F35" s="2" t="n"/>
      <x:c r="G35" s="2" t="n"/>
    </x:row>
    <x:row r="36" ht="28" customHeight="1">
      <x:c r="A36" s="2" t="n"/>
      <x:c r="B36" s="2" t="n"/>
      <x:c r="C36" s="2" t="n"/>
      <x:c r="D36" s="2" t="n"/>
      <x:c r="E36" s="2" t="n"/>
      <x:c r="F36" s="2" t="n"/>
      <x:c r="G36" s="2" t="n"/>
    </x:row>
    <x:row r="37" ht="28" customHeight="1">
      <x:c r="A37" s="2" t="n"/>
      <x:c r="B37" s="2" t="n"/>
      <x:c r="C37" s="2" t="n"/>
      <x:c r="D37" s="2" t="n"/>
      <x:c r="E37" s="2" t="n"/>
      <x:c r="F37" s="2" t="n"/>
      <x:c r="G37" s="2" t="n"/>
    </x:row>
    <x:row r="38" ht="28" customHeight="1">
      <x:c r="A38" s="2" t="n"/>
      <x:c r="B38" s="2" t="n"/>
      <x:c r="C38" s="2" t="n"/>
      <x:c r="D38" s="2" t="n"/>
      <x:c r="E38" s="2" t="n"/>
      <x:c r="F38" s="2" t="n"/>
      <x:c r="G38" s="2" t="n"/>
    </x:row>
    <x:row r="39" ht="28" customHeight="1">
      <x:c r="A39" s="2" t="n"/>
      <x:c r="B39" s="2" t="n"/>
      <x:c r="C39" s="2" t="n"/>
      <x:c r="D39" s="2" t="n"/>
      <x:c r="E39" s="2" t="n"/>
      <x:c r="F39" s="2" t="n"/>
      <x:c r="G39" s="2" t="n"/>
    </x:row>
    <x:row r="40" ht="28" customHeight="1">
      <x:c r="A40" s="2" t="n"/>
      <x:c r="B40" s="2" t="n"/>
      <x:c r="C40" s="2" t="n"/>
      <x:c r="D40" s="2" t="n"/>
      <x:c r="E40" s="2" t="n"/>
      <x:c r="F40" s="2" t="n"/>
      <x:c r="G40" s="2" t="n"/>
    </x:row>
    <x:row r="41" ht="28" customHeight="1">
      <x:c r="A41" s="2" t="n"/>
      <x:c r="B41" s="2" t="n"/>
      <x:c r="C41" s="2" t="n"/>
      <x:c r="D41" s="2" t="n"/>
      <x:c r="E41" s="2" t="n"/>
      <x:c r="F41" s="2" t="n"/>
      <x:c r="G41" s="2" t="n"/>
    </x:row>
    <x:row r="42" ht="28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8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9.75" customWidth="1"/>
    <x:col min="2" max="2" width="26.8799991607666" customWidth="1"/>
    <x:col min="3" max="3" width="48.130001068115234" customWidth="1"/>
    <x:col min="4" max="4" width="15" customWidth="1"/>
    <x:col min="5" max="5" width="17.75" customWidth="1"/>
    <x:col min="6" max="6" width="7.5" customWidth="1"/>
    <x:col min="7" max="7" width="10.630000114440918" customWidth="1"/>
    <x:col min="8" max="8" width="32.5" customWidth="1"/>
    <x:col min="9" max="9" width="28.75" customWidth="1"/>
    <x:col min="10" max="10" width="28.75" customWidth="1"/>
    <x:col min="11" max="11" width="28.75" customWidth="1"/>
    <x:col min="12" max="12" width="52.5" customWidth="1"/>
    <x:col min="13" max="13" width="16.25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</x:row>
    <x:row r="2" ht="28" customHeight="1">
      <x:c r="A2" s="3" t="inlineStr">
        <x:is>
          <x:t xml:space="preserve">Majucau — tarefas do backlog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</x:row>
    <x:row r="3" ht="28" customHeight="1">
      <x:c r="A3" s="4" t="inlineStr">
        <x:is>
          <x:t xml:space="preserve">Detalhes de objetivo, execução, aceite e impacto: documento MAJUCAU_BACKLOG_DETALHADO_v2.md, pelo ID.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  <x:c r="J3" s="2" t="n"/>
      <x:c r="K3" s="2" t="n"/>
      <x:c r="L3" s="2" t="n"/>
      <x:c r="M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  <x:c r="M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Fase</x:t>
        </x:is>
      </x:c>
      <x:c r="C5" s="8" t="inlineStr">
        <x:is>
          <x:t xml:space="preserve">Tarefa</x:t>
        </x:is>
      </x:c>
      <x:c r="D5" s="8" t="inlineStr">
        <x:is>
          <x:t xml:space="preserve">Natureza</x:t>
        </x:is>
      </x:c>
      <x:c r="E5" s="8" t="inlineStr">
        <x:is>
          <x:t xml:space="preserve">Situação</x:t>
        </x:is>
      </x:c>
      <x:c r="F5" s="8" t="inlineStr">
        <x:is>
          <x:t xml:space="preserve">Peso</x:t>
        </x:is>
      </x:c>
      <x:c r="G5" s="8" t="inlineStr">
        <x:is>
          <x:t xml:space="preserve">Evolução</x:t>
        </x:is>
      </x:c>
      <x:c r="H5" s="8" t="inlineStr">
        <x:is>
          <x:t xml:space="preserve">Evidência de aceite</x:t>
        </x:is>
      </x:c>
      <x:c r="I5" s="8" t="inlineStr">
        <x:is>
          <x:t xml:space="preserve">Responsável sugerido</x:t>
        </x:is>
      </x:c>
      <x:c r="J5" s="8" t="inlineStr">
        <x:is>
          <x:t xml:space="preserve">Dependências</x:t>
        </x:is>
      </x:c>
      <x:c r="K5" s="8" t="inlineStr">
        <x:is>
          <x:t xml:space="preserve">Decisões a acompanhar</x:t>
        </x:is>
      </x:c>
      <x:c r="L5" s="8" t="inlineStr">
        <x:is>
          <x:t xml:space="preserve">Referências</x:t>
        </x:is>
      </x:c>
      <x:c r="M5" s="8" t="inlineStr">
        <x:is>
          <x:t xml:space="preserve">Peso concluído</x:t>
        </x:is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30" t="n">
        <x:v>1</x:v>
      </x:c>
      <x:c r="G6" s="31" t="n">
        <x:f>IF(AND(E6="Concluída",H6&lt;&gt;""),1,0)</x:f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30" t="n">
        <x:v>1</x:v>
      </x:c>
      <x:c r="G7" s="32" t="n">
        <x:f>IF(AND(E7="Concluída",H7&lt;&gt;""),1,0)</x:f>
        <x:v>1</x:v>
      </x:c>
      <x:c r="H7" s="12" t="str">
        <x:v>MAJUCAU_ANALISE_E_DECISOES_v0.md — inventário e análise; inspeção dos materiais e GitHub nesta sessão. Evidência original preservada na versão 0; esta revisão não altera a conclusão desse levantamento.</x:v>
      </x:c>
      <x:c r="I7" s="11" t="str">
        <x:v>Produto + UX</x:v>
      </x:c>
      <x:c r="J7" s="11" t="str"/>
      <x:c r="K7" s="11" t="str"/>
      <x:c r="L7" s="11" t="str">
        <x:v>Pacote fornecido; manifesto de arquivos; Consolidação 13/09/2026, consolidação integral; Fechamento vigente 13/09/2026, integral</x:v>
      </x:c>
      <x:c r="M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30" t="n">
        <x:v>1</x:v>
      </x:c>
      <x:c r="G8" s="31" t="n">
        <x:f>IF(AND(E8="Concluída",H8&lt;&gt;""),1,0)</x:f>
        <x:v>1</x:v>
      </x:c>
      <x:c r="H8" s="12" t="str">
        <x:v>MAJUCAU_ANALISE_E_DECISOES_v0.md — inventário e análise; inspeção dos materiais e GitHub nesta sessão. Evidência original preservada na versão 0; esta revisão não altera a conclusão desse levantamento.</x:v>
      </x:c>
      <x:c r="I8" s="10" t="str">
        <x:v>Arquitetura</x:v>
      </x:c>
      <x:c r="J8" s="10" t="str"/>
      <x:c r="K8" s="10" t="str"/>
      <x:c r="L8" s="10" t="str">
        <x:v>GitHub majucau /contents e /commits</x:v>
      </x:c>
      <x:c r="M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30" t="n">
        <x:v>1</x:v>
      </x:c>
      <x:c r="G9" s="32" t="n">
        <x:f>IF(AND(E9="Concluída",H9&lt;&gt;""),1,0)</x:f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30" t="n">
        <x:v>1</x:v>
      </x:c>
      <x:c r="G10" s="31" t="n">
        <x:f>IF(AND(E10="Concluída",H10&lt;&gt;""),1,0)</x:f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Não iniciada</x:v>
      </x:c>
      <x:c r="F11" s="30" t="n">
        <x:v>1</x:v>
      </x:c>
      <x:c r="G11" s="32" t="n">
        <x:f>IF(AND(E11="Concluída",H11&lt;&gt;""),1,0)</x:f>
        <x:v>0</x:v>
      </x:c>
      <x:c r="H11" s="12" t="str"/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F11*G11</x:f>
        <x:v>0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Não iniciada</x:v>
      </x:c>
      <x:c r="F12" s="30" t="n">
        <x:v>1</x:v>
      </x:c>
      <x:c r="G12" s="31" t="n">
        <x:f>IF(AND(E12="Concluída",H12&lt;&gt;""),1,0)</x:f>
        <x:v>0</x:v>
      </x:c>
      <x:c r="H12" s="12" t="str"/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F12*G12</x:f>
        <x:v>0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30" t="n">
        <x:v>1</x:v>
      </x:c>
      <x:c r="G13" s="32" t="n">
        <x:f>IF(AND(E13="Concluída",H13&lt;&gt;""),1,0)</x:f>
        <x:v>0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F13*G13</x:f>
        <x:v>0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30" t="n">
        <x:v>1</x:v>
      </x:c>
      <x:c r="G14" s="31" t="n">
        <x:f>IF(AND(E14="Concluída",H14&lt;&gt;""),1,0)</x:f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30" t="n">
        <x:v>1</x:v>
      </x:c>
      <x:c r="G15" s="32" t="n">
        <x:f>IF(AND(E15="Concluída",H15&lt;&gt;""),1,0)</x:f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30" t="n">
        <x:v>1</x:v>
      </x:c>
      <x:c r="G16" s="31" t="n">
        <x:f>IF(AND(E16="Concluída",H16&lt;&gt;""),1,0)</x:f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30" t="n">
        <x:v>1</x:v>
      </x:c>
      <x:c r="G17" s="32" t="n">
        <x:f>IF(AND(E17="Concluída",H17&lt;&gt;""),1,0)</x:f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Não iniciada</x:v>
      </x:c>
      <x:c r="F18" s="30" t="n">
        <x:v>1</x:v>
      </x:c>
      <x:c r="G18" s="31" t="n">
        <x:f>IF(AND(E18="Concluída",H18&lt;&gt;""),1,0)</x:f>
        <x:v>0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F18*G18</x:f>
        <x:v>0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Não iniciada</x:v>
      </x:c>
      <x:c r="F19" s="30" t="n">
        <x:v>1</x:v>
      </x:c>
      <x:c r="G19" s="32" t="n">
        <x:f>IF(AND(E19="Concluída",H19&lt;&gt;""),1,0)</x:f>
        <x:v>0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F19*G19</x:f>
        <x:v>0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Não iniciada</x:v>
      </x:c>
      <x:c r="F20" s="30" t="n">
        <x:v>1</x:v>
      </x:c>
      <x:c r="G20" s="31" t="n">
        <x:f>IF(AND(E20="Concluída",H20&lt;&gt;""),1,0)</x:f>
        <x:v>0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F20*G20</x:f>
        <x:v>0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30" t="n">
        <x:v>1</x:v>
      </x:c>
      <x:c r="G21" s="32" t="n">
        <x:f>IF(AND(E21="Concluída",H21&lt;&gt;""),1,0)</x:f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30" t="n">
        <x:v>1</x:v>
      </x:c>
      <x:c r="G22" s="31" t="n">
        <x:f>IF(AND(E22="Concluída",H22&lt;&gt;""),1,0)</x:f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30" t="n">
        <x:v>1</x:v>
      </x:c>
      <x:c r="G23" s="32" t="n">
        <x:f>IF(AND(E23="Concluída",H23&lt;&gt;""),1,0)</x:f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30" t="n">
        <x:v>1</x:v>
      </x:c>
      <x:c r="G24" s="31" t="n">
        <x:f>IF(AND(E24="Concluída",H24&lt;&gt;""),1,0)</x:f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30" t="n">
        <x:v>1</x:v>
      </x:c>
      <x:c r="G25" s="32" t="n">
        <x:f>IF(AND(E25="Concluída",H25&lt;&gt;""),1,0)</x:f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30" t="n">
        <x:v>1</x:v>
      </x:c>
      <x:c r="G26" s="31" t="n">
        <x:f>IF(AND(E26="Concluída",H26&lt;&gt;""),1,0)</x:f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30" t="n">
        <x:v>1</x:v>
      </x:c>
      <x:c r="G27" s="32" t="n">
        <x:f>IF(AND(E27="Concluída",H27&lt;&gt;""),1,0)</x:f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30" t="n">
        <x:v>1</x:v>
      </x:c>
      <x:c r="G28" s="31" t="n">
        <x:f>IF(AND(E28="Concluída",H28&lt;&gt;""),1,0)</x:f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30" t="n">
        <x:v>1</x:v>
      </x:c>
      <x:c r="G29" s="32" t="n">
        <x:f>IF(AND(E29="Concluída",H29&lt;&gt;""),1,0)</x:f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30" t="n">
        <x:v>1</x:v>
      </x:c>
      <x:c r="G30" s="31" t="n">
        <x:f>IF(AND(E30="Concluída",H30&lt;&gt;""),1,0)</x:f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Não iniciada</x:v>
      </x:c>
      <x:c r="F31" s="30" t="n">
        <x:v>1</x:v>
      </x:c>
      <x:c r="G31" s="32" t="n">
        <x:f>IF(AND(E31="Concluída",H31&lt;&gt;""),1,0)</x:f>
        <x:v>0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F31*G31</x:f>
        <x:v>0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30" t="n">
        <x:v>1</x:v>
      </x:c>
      <x:c r="G32" s="31" t="n">
        <x:f>IF(AND(E32="Concluída",H32&lt;&gt;""),1,0)</x:f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30" t="n">
        <x:v>1</x:v>
      </x:c>
      <x:c r="G33" s="32" t="n">
        <x:f>IF(AND(E33="Concluída",H33&lt;&gt;""),1,0)</x:f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30" t="n">
        <x:v>1</x:v>
      </x:c>
      <x:c r="G34" s="31" t="n">
        <x:f>IF(AND(E34="Concluída",H34&lt;&gt;""),1,0)</x:f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30" t="n">
        <x:v>1</x:v>
      </x:c>
      <x:c r="G35" s="32" t="n">
        <x:f>IF(AND(E35="Concluída",H35&lt;&gt;""),1,0)</x:f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Não iniciada</x:v>
      </x:c>
      <x:c r="F36" s="30" t="n">
        <x:v>1</x:v>
      </x:c>
      <x:c r="G36" s="31" t="n">
        <x:f>IF(AND(E36="Concluída",H36&lt;&gt;""),1,0)</x:f>
        <x:v>0</x:v>
      </x:c>
      <x:c r="H36" s="12" t="str"/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F36*G36</x:f>
        <x:v>0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Não iniciada</x:v>
      </x:c>
      <x:c r="F37" s="30" t="n">
        <x:v>1</x:v>
      </x:c>
      <x:c r="G37" s="32" t="n">
        <x:f>IF(AND(E37="Concluída",H37&lt;&gt;""),1,0)</x:f>
        <x:v>0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F37*G37</x:f>
        <x:v>0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30" t="n">
        <x:v>1</x:v>
      </x:c>
      <x:c r="G38" s="31" t="n">
        <x:f>IF(AND(E38="Concluída",H38&lt;&gt;""),1,0)</x:f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30" t="n">
        <x:v>1</x:v>
      </x:c>
      <x:c r="G39" s="32" t="n">
        <x:f>IF(AND(E39="Concluída",H39&lt;&gt;""),1,0)</x:f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30" t="n">
        <x:v>1</x:v>
      </x:c>
      <x:c r="G40" s="31" t="n">
        <x:f>IF(AND(E40="Concluída",H40&lt;&gt;""),1,0)</x:f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30" t="n">
        <x:v>1</x:v>
      </x:c>
      <x:c r="G41" s="32" t="n">
        <x:f>IF(AND(E41="Concluída",H41&lt;&gt;""),1,0)</x:f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30" t="n">
        <x:v>1</x:v>
      </x:c>
      <x:c r="G42" s="31" t="n">
        <x:f>IF(AND(E42="Concluída",H42&lt;&gt;""),1,0)</x:f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30" t="n">
        <x:v>1</x:v>
      </x:c>
      <x:c r="G43" s="32" t="n">
        <x:f>IF(AND(E43="Concluída",H43&lt;&gt;""),1,0)</x:f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30" t="n">
        <x:v>1</x:v>
      </x:c>
      <x:c r="G44" s="31" t="n">
        <x:f>IF(AND(E44="Concluída",H44&lt;&gt;""),1,0)</x:f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30" t="n">
        <x:v>1</x:v>
      </x:c>
      <x:c r="G45" s="32" t="n">
        <x:f>IF(AND(E45="Concluída",H45&lt;&gt;""),1,0)</x:f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30" t="n">
        <x:v>1</x:v>
      </x:c>
      <x:c r="G46" s="31" t="n">
        <x:f>IF(AND(E46="Concluída",H46&lt;&gt;""),1,0)</x:f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Não iniciada</x:v>
      </x:c>
      <x:c r="F47" s="30" t="n">
        <x:v>1</x:v>
      </x:c>
      <x:c r="G47" s="32" t="n">
        <x:f>IF(AND(E47="Concluída",H47&lt;&gt;""),1,0)</x:f>
        <x:v>0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F47*G47</x:f>
        <x:v>0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30" t="n">
        <x:v>1</x:v>
      </x:c>
      <x:c r="G48" s="31" t="n">
        <x:f>IF(AND(E48="Concluída",H48&lt;&gt;""),1,0)</x:f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30" t="n">
        <x:v>1</x:v>
      </x:c>
      <x:c r="G49" s="32" t="n">
        <x:f>IF(AND(E49="Concluída",H49&lt;&gt;""),1,0)</x:f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30" t="n">
        <x:v>1</x:v>
      </x:c>
      <x:c r="G50" s="31" t="n">
        <x:f>IF(AND(E50="Concluída",H50&lt;&gt;""),1,0)</x:f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30" t="n">
        <x:v>1</x:v>
      </x:c>
      <x:c r="G51" s="32" t="n">
        <x:f>IF(AND(E51="Concluída",H51&lt;&gt;""),1,0)</x:f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30" t="n">
        <x:v>1</x:v>
      </x:c>
      <x:c r="G52" s="31" t="n">
        <x:f>IF(AND(E52="Concluída",H52&lt;&gt;""),1,0)</x:f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30" t="n">
        <x:v>1</x:v>
      </x:c>
      <x:c r="G53" s="32" t="n">
        <x:f>IF(AND(E53="Concluída",H53&lt;&gt;""),1,0)</x:f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30" t="n">
        <x:v>1</x:v>
      </x:c>
      <x:c r="G54" s="31" t="n">
        <x:f>IF(AND(E54="Concluída",H54&lt;&gt;""),1,0)</x:f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30" t="n">
        <x:v>1</x:v>
      </x:c>
      <x:c r="G55" s="32" t="n">
        <x:f>IF(AND(E55="Concluída",H55&lt;&gt;""),1,0)</x:f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30" t="n">
        <x:v>1</x:v>
      </x:c>
      <x:c r="G56" s="31" t="n">
        <x:f>IF(AND(E56="Concluída",H56&lt;&gt;""),1,0)</x:f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30" t="n">
        <x:v>1</x:v>
      </x:c>
      <x:c r="G57" s="32" t="n">
        <x:f>IF(AND(E57="Concluída",H57&lt;&gt;""),1,0)</x:f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30" t="n">
        <x:v>1</x:v>
      </x:c>
      <x:c r="G58" s="31" t="n">
        <x:f>IF(AND(E58="Concluída",H58&lt;&gt;""),1,0)</x:f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30" t="n">
        <x:v>1</x:v>
      </x:c>
      <x:c r="G59" s="32" t="n">
        <x:f>IF(AND(E59="Concluída",H59&lt;&gt;""),1,0)</x:f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30" t="n">
        <x:v>1</x:v>
      </x:c>
      <x:c r="G60" s="31" t="n">
        <x:f>IF(AND(E60="Concluída",H60&lt;&gt;""),1,0)</x:f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30" t="n">
        <x:v>1</x:v>
      </x:c>
      <x:c r="G61" s="32" t="n">
        <x:f>IF(AND(E61="Concluída",H61&lt;&gt;""),1,0)</x:f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30" t="n">
        <x:v>1</x:v>
      </x:c>
      <x:c r="G62" s="31" t="n">
        <x:f>IF(AND(E62="Concluída",H62&lt;&gt;""),1,0)</x:f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30" t="n">
        <x:v>1</x:v>
      </x:c>
      <x:c r="G63" s="32" t="n">
        <x:f>IF(AND(E63="Concluída",H63&lt;&gt;""),1,0)</x:f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30" t="n">
        <x:v>1</x:v>
      </x:c>
      <x:c r="G64" s="31" t="n">
        <x:f>IF(AND(E64="Concluída",H64&lt;&gt;""),1,0)</x:f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30" t="n">
        <x:v>1</x:v>
      </x:c>
      <x:c r="G65" s="32" t="n">
        <x:f>IF(AND(E65="Concluída",H65&lt;&gt;""),1,0)</x:f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30" t="n">
        <x:v>1</x:v>
      </x:c>
      <x:c r="G66" s="31" t="n">
        <x:f>IF(AND(E66="Concluída",H66&lt;&gt;""),1,0)</x:f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30" t="n">
        <x:v>1</x:v>
      </x:c>
      <x:c r="G67" s="32" t="n">
        <x:f>IF(AND(E67="Concluída",H67&lt;&gt;""),1,0)</x:f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30" t="n">
        <x:v>1</x:v>
      </x:c>
      <x:c r="G68" s="31" t="n">
        <x:f>IF(AND(E68="Concluída",H68&lt;&gt;""),1,0)</x:f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30" t="n">
        <x:v>1</x:v>
      </x:c>
      <x:c r="G69" s="32" t="n">
        <x:f>IF(AND(E69="Concluída",H69&lt;&gt;""),1,0)</x:f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30" t="n">
        <x:v>1</x:v>
      </x:c>
      <x:c r="G70" s="31" t="n">
        <x:f>IF(AND(E70="Concluída",H70&lt;&gt;""),1,0)</x:f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30" t="n">
        <x:v>1</x:v>
      </x:c>
      <x:c r="G71" s="32" t="n">
        <x:f>IF(AND(E71="Concluída",H71&lt;&gt;""),1,0)</x:f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30" t="n">
        <x:v>1</x:v>
      </x:c>
      <x:c r="G72" s="31" t="n">
        <x:f>IF(AND(E72="Concluída",H72&lt;&gt;""),1,0)</x:f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Não iniciada</x:v>
      </x:c>
      <x:c r="F73" s="30" t="n">
        <x:v>1</x:v>
      </x:c>
      <x:c r="G73" s="32" t="n">
        <x:f>IF(AND(E73="Concluída",H73&lt;&gt;""),1,0)</x:f>
        <x:v>0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F73*G73</x:f>
        <x:v>0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30" t="n">
        <x:v>1</x:v>
      </x:c>
      <x:c r="G74" s="31" t="n">
        <x:f>IF(AND(E74="Concluída",H74&lt;&gt;""),1,0)</x:f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30" t="n">
        <x:v>1</x:v>
      </x:c>
      <x:c r="G75" s="32" t="n">
        <x:f>IF(AND(E75="Concluída",H75&lt;&gt;""),1,0)</x:f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30" t="n">
        <x:v>1</x:v>
      </x:c>
      <x:c r="G76" s="31" t="n">
        <x:f>IF(AND(E76="Concluída",H76&lt;&gt;""),1,0)</x:f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30" t="n">
        <x:v>1</x:v>
      </x:c>
      <x:c r="G77" s="32" t="n">
        <x:f>IF(AND(E77="Concluída",H77&lt;&gt;""),1,0)</x:f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30" t="n">
        <x:v>1</x:v>
      </x:c>
      <x:c r="G78" s="31" t="n">
        <x:f>IF(AND(E78="Concluída",H78&lt;&gt;""),1,0)</x:f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30" t="n">
        <x:v>1</x:v>
      </x:c>
      <x:c r="G79" s="32" t="n">
        <x:f>IF(AND(E79="Concluída",H79&lt;&gt;""),1,0)</x:f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30" t="n">
        <x:v>1</x:v>
      </x:c>
      <x:c r="G80" s="31" t="n">
        <x:f>IF(AND(E80="Concluída",H80&lt;&gt;""),1,0)</x:f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30" t="n">
        <x:v>1</x:v>
      </x:c>
      <x:c r="G81" s="32" t="n">
        <x:f>IF(AND(E81="Concluída",H81&lt;&gt;""),1,0)</x:f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30" t="n">
        <x:v>1</x:v>
      </x:c>
      <x:c r="G82" s="31" t="n">
        <x:f>IF(AND(E82="Concluída",H82&lt;&gt;""),1,0)</x:f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30" t="n">
        <x:v>1</x:v>
      </x:c>
      <x:c r="G83" s="32" t="n">
        <x:f>IF(AND(E83="Concluída",H83&lt;&gt;""),1,0)</x:f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30" t="n">
        <x:v>1</x:v>
      </x:c>
      <x:c r="G84" s="31" t="n">
        <x:f>IF(AND(E84="Concluída",H84&lt;&gt;""),1,0)</x:f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30" t="n">
        <x:v>1</x:v>
      </x:c>
      <x:c r="G85" s="32" t="n">
        <x:f>IF(AND(E85="Concluída",H85&lt;&gt;""),1,0)</x:f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30" t="n">
        <x:v>1</x:v>
      </x:c>
      <x:c r="G86" s="31" t="n">
        <x:f>IF(AND(E86="Concluída",H86&lt;&gt;""),1,0)</x:f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30" t="n">
        <x:v>1</x:v>
      </x:c>
      <x:c r="G87" s="32" t="n">
        <x:f>IF(AND(E87="Concluída",H87&lt;&gt;""),1,0)</x:f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30" t="n">
        <x:v>1</x:v>
      </x:c>
      <x:c r="G88" s="31" t="n">
        <x:f>IF(AND(E88="Concluída",H88&lt;&gt;""),1,0)</x:f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30" t="n">
        <x:v>1</x:v>
      </x:c>
      <x:c r="G89" s="32" t="n">
        <x:f>IF(AND(E89="Concluída",H89&lt;&gt;""),1,0)</x:f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30" t="n">
        <x:v>1</x:v>
      </x:c>
      <x:c r="G90" s="31" t="n">
        <x:f>IF(AND(E90="Concluída",H90&lt;&gt;""),1,0)</x:f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30" t="n">
        <x:v>1</x:v>
      </x:c>
      <x:c r="G91" s="32" t="n">
        <x:f>IF(AND(E91="Concluída",H91&lt;&gt;""),1,0)</x:f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e exportação de recomendações</x:v>
      </x:c>
      <x:c r="D92" s="10" t="str">
        <x:v>Desenvolvimento</x:v>
      </x:c>
      <x:c r="E92" s="12" t="str">
        <x:v>Não iniciada</x:v>
      </x:c>
      <x:c r="F92" s="30" t="n">
        <x:v>1</x:v>
      </x:c>
      <x:c r="G92" s="31" t="n">
        <x:f>IF(AND(E92="Concluída",H92&lt;&gt;""),1,0)</x:f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30" t="n">
        <x:v>1</x:v>
      </x:c>
      <x:c r="G93" s="32" t="n">
        <x:f>IF(AND(E93="Concluída",H93&lt;&gt;""),1,0)</x:f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30" t="n">
        <x:v>1</x:v>
      </x:c>
      <x:c r="G94" s="31" t="n">
        <x:f>IF(AND(E94="Concluída",H94&lt;&gt;""),1,0)</x:f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30" t="n">
        <x:v>1</x:v>
      </x:c>
      <x:c r="G95" s="32" t="n">
        <x:f>IF(AND(E95="Concluída",H95&lt;&gt;""),1,0)</x:f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30" t="n">
        <x:v>1</x:v>
      </x:c>
      <x:c r="G96" s="31" t="n">
        <x:f>IF(AND(E96="Concluída",H96&lt;&gt;""),1,0)</x:f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30" t="n">
        <x:v>1</x:v>
      </x:c>
      <x:c r="G97" s="32" t="n">
        <x:f>IF(AND(E97="Concluída",H97&lt;&gt;""),1,0)</x:f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30" t="n">
        <x:v>1</x:v>
      </x:c>
      <x:c r="G98" s="31" t="n">
        <x:f>IF(AND(E98="Concluída",H98&lt;&gt;""),1,0)</x:f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30" t="n">
        <x:v>1</x:v>
      </x:c>
      <x:c r="G99" s="32" t="n">
        <x:f>IF(AND(E99="Concluída",H99&lt;&gt;""),1,0)</x:f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30" t="n">
        <x:v>1</x:v>
      </x:c>
      <x:c r="G100" s="31" t="n">
        <x:f>IF(AND(E100="Concluída",H100&lt;&gt;""),1,0)</x:f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30" t="n">
        <x:v>1</x:v>
      </x:c>
      <x:c r="G101" s="32" t="n">
        <x:f>IF(AND(E101="Concluída",H101&lt;&gt;""),1,0)</x:f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30" t="n">
        <x:v>1</x:v>
      </x:c>
      <x:c r="G102" s="31" t="n">
        <x:f>IF(AND(E102="Concluída",H102&lt;&gt;""),1,0)</x:f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30" t="n">
        <x:v>1</x:v>
      </x:c>
      <x:c r="G103" s="32" t="n">
        <x:f>IF(AND(E103="Concluída",H103&lt;&gt;""),1,0)</x:f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30" t="n">
        <x:v>1</x:v>
      </x:c>
      <x:c r="G104" s="31" t="n">
        <x:f>IF(AND(E104="Concluída",H104&lt;&gt;""),1,0)</x:f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30" t="n">
        <x:v>1</x:v>
      </x:c>
      <x:c r="G105" s="32" t="n">
        <x:f>IF(AND(E105="Concluída",H105&lt;&gt;""),1,0)</x:f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30" t="n">
        <x:v>1</x:v>
      </x:c>
      <x:c r="G106" s="31" t="n">
        <x:f>IF(AND(E106="Concluída",H106&lt;&gt;""),1,0)</x:f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30" t="n">
        <x:v>1</x:v>
      </x:c>
      <x:c r="G107" s="32" t="n">
        <x:f>IF(AND(E107="Concluída",H107&lt;&gt;""),1,0)</x:f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30" t="n">
        <x:v>1</x:v>
      </x:c>
      <x:c r="G108" s="31" t="n">
        <x:f>IF(AND(E108="Concluída",H108&lt;&gt;""),1,0)</x:f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30" t="n">
        <x:v>1</x:v>
      </x:c>
      <x:c r="G109" s="32" t="n">
        <x:f>IF(AND(E109="Concluída",H109&lt;&gt;""),1,0)</x:f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30" t="n">
        <x:v>1</x:v>
      </x:c>
      <x:c r="G110" s="31" t="n">
        <x:f>IF(AND(E110="Concluída",H110&lt;&gt;""),1,0)</x:f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30" t="n">
        <x:v>1</x:v>
      </x:c>
      <x:c r="G111" s="32" t="n">
        <x:f>IF(AND(E111="Concluída",H111&lt;&gt;""),1,0)</x:f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30" t="n">
        <x:v>1</x:v>
      </x:c>
      <x:c r="G112" s="31" t="n">
        <x:f>IF(AND(E112="Concluída",H112&lt;&gt;""),1,0)</x:f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30" t="n">
        <x:v>1</x:v>
      </x:c>
      <x:c r="G113" s="32" t="n">
        <x:f>IF(AND(E113="Concluída",H113&lt;&gt;""),1,0)</x:f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30" t="n">
        <x:v>1</x:v>
      </x:c>
      <x:c r="G114" s="31" t="n">
        <x:f>IF(AND(E114="Concluída",H114&lt;&gt;""),1,0)</x:f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30" t="n">
        <x:v>1</x:v>
      </x:c>
      <x:c r="G115" s="32" t="n">
        <x:f>IF(AND(E115="Concluída",H115&lt;&gt;""),1,0)</x:f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30" t="n">
        <x:v>1</x:v>
      </x:c>
      <x:c r="G116" s="31" t="n">
        <x:f>IF(AND(E116="Concluída",H116&lt;&gt;""),1,0)</x:f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30" t="n">
        <x:v>1</x:v>
      </x:c>
      <x:c r="G117" s="32" t="n">
        <x:f>IF(AND(E117="Concluída",H117&lt;&gt;""),1,0)</x:f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30" t="n">
        <x:v>1</x:v>
      </x:c>
      <x:c r="G118" s="31" t="n">
        <x:f>IF(AND(E118="Concluída",H118&lt;&gt;""),1,0)</x:f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30" t="n">
        <x:v>1</x:v>
      </x:c>
      <x:c r="G119" s="32" t="n">
        <x:f>IF(AND(E119="Concluída",H119&lt;&gt;""),1,0)</x:f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30" t="n">
        <x:v>1</x:v>
      </x:c>
      <x:c r="G120" s="31" t="n">
        <x:f>IF(AND(E120="Concluída",H120&lt;&gt;""),1,0)</x:f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30" t="n">
        <x:v>1</x:v>
      </x:c>
      <x:c r="G121" s="32" t="n">
        <x:f>IF(AND(E121="Concluída",H121&lt;&gt;""),1,0)</x:f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30" t="n">
        <x:v>1</x:v>
      </x:c>
      <x:c r="G122" s="31" t="n">
        <x:f>IF(AND(E122="Concluída",H122&lt;&gt;""),1,0)</x:f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30" t="n">
        <x:v>1</x:v>
      </x:c>
      <x:c r="G123" s="32" t="n">
        <x:f>IF(AND(E123="Concluída",H123&lt;&gt;""),1,0)</x:f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30" t="n">
        <x:v>1</x:v>
      </x:c>
      <x:c r="G124" s="31" t="n">
        <x:f>IF(AND(E124="Concluída",H124&lt;&gt;""),1,0)</x:f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30" t="n">
        <x:v>1</x:v>
      </x:c>
      <x:c r="G125" s="32" t="n">
        <x:f>IF(AND(E125="Concluída",H125&lt;&gt;""),1,0)</x:f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30" t="n">
        <x:v>1</x:v>
      </x:c>
      <x:c r="G126" s="31" t="n">
        <x:f>IF(AND(E126="Concluída",H126&lt;&gt;""),1,0)</x:f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30" t="n">
        <x:v>1</x:v>
      </x:c>
      <x:c r="G127" s="32" t="n">
        <x:f>IF(AND(E127="Concluída",H127&lt;&gt;""),1,0)</x:f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30" t="n">
        <x:v>1</x:v>
      </x:c>
      <x:c r="G128" s="31" t="n">
        <x:f>IF(AND(E128="Concluída",H128&lt;&gt;""),1,0)</x:f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30" t="n">
        <x:v>1</x:v>
      </x:c>
      <x:c r="G129" s="32" t="n">
        <x:f>IF(AND(E129="Concluída",H129&lt;&gt;""),1,0)</x:f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30" t="n">
        <x:v>1</x:v>
      </x:c>
      <x:c r="G130" s="31" t="n">
        <x:f>IF(AND(E130="Concluída",H130&lt;&gt;""),1,0)</x:f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30" t="n">
        <x:v>1</x:v>
      </x:c>
      <x:c r="G131" s="32" t="n">
        <x:f>IF(AND(E131="Concluída",H131&lt;&gt;""),1,0)</x:f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30" t="n">
        <x:v>1</x:v>
      </x:c>
      <x:c r="G132" s="31" t="n">
        <x:f>IF(AND(E132="Concluída",H132&lt;&gt;""),1,0)</x:f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F132*G132</x:f>
        <x:v>0</x:v>
      </x:c>
    </x:row>
  </x:sheetData>
  <x:conditionalFormatting sqref="E6:H132">
    <x:cfRule type="expression" dxfId="0" priority="1">
      <x:formula>AND($E6="Concluída",$H6="")</x:formula>
    </x:cfRule>
  </x:conditionalFormatting>
  <x:dataValidations count="2">
    <x:dataValidation type="list" allowBlank="0" showDropDown="0" showInputMessage="0" showErrorMessage="0" sqref="E6:E132">
      <x:formula1>"Não iniciada,Aguarda decisão,Em andamento,Em validação,Bloqueada,Concluída"</x:formula1>
    </x:dataValidation>
    <x:dataValidation type="whole" operator="between" allowBlank="0" showDropDown="0" showInputMessage="0" showErrorMessage="0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badaebe5b9749f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baseColWidth="8" defaultRowHeight="15"/>
  <x:cols>
    <x:col min="1" max="1" width="9.380000114440918" customWidth="1"/>
    <x:col min="2" max="2" width="23.1299991607666" customWidth="1"/>
    <x:col min="3" max="3" width="23.1299991607666" customWidth="1"/>
    <x:col min="4" max="4" width="70" customWidth="1"/>
    <x:col min="5" max="5" width="42.5" customWidth="1"/>
    <x:col min="6" max="6" width="60" customWidth="1"/>
    <x:col min="7" max="7" width="34.380001068115234" customWidth="1"/>
    <x:col min="8" max="8" width="28.75" customWidth="1"/>
    <x:col min="9" max="9" width="31.8799991607666" customWidth="1"/>
  </x:cols>
  <x:sheetData>
    <x:row r="1" ht="28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</x:row>
    <x:row r="2" ht="28" customHeight="1">
      <x:c r="A2" s="3" t="inlineStr">
        <x:is>
          <x:t xml:space="preserve">Majucau — regras e verificações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</x:row>
    <x:row r="3" ht="28" customHeight="1">
      <x:c r="A3" s="2" t="inlineStr">
        <x:is>
          <x:t xml:space="preserve">Regras funcionais fechadas. Execução técnica e localização de referências são acompanhadas sem reabrir o negócio.</x:t>
        </x:is>
      </x:c>
      <x:c r="B3" s="2" t="n"/>
      <x:c r="C3" s="2" t="n"/>
      <x:c r="D3" s="2" t="n"/>
      <x:c r="E3" s="2" t="n"/>
      <x:c r="F3" s="2" t="n"/>
      <x:c r="G3" s="2" t="n"/>
      <x:c r="H3" s="2" t="n"/>
      <x:c r="I3" s="2" t="n"/>
    </x:row>
    <x:row r="4" ht="28" customHeight="1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Tema</x:t>
        </x:is>
      </x:c>
      <x:c r="C5" s="8" t="inlineStr">
        <x:is>
          <x:t xml:space="preserve">Situação</x:t>
        </x:is>
      </x:c>
      <x:c r="D5" s="8" t="inlineStr">
        <x:is>
          <x:t xml:space="preserve">Definição / verificação necessária</x:t>
        </x:is>
      </x:c>
      <x:c r="E5" s="8" t="inlineStr">
        <x:is>
          <x:t xml:space="preserve">Impacto</x:t>
        </x:is>
      </x:c>
      <x:c r="F5" s="8" t="inlineStr">
        <x:is>
          <x:t xml:space="preserve">Resposta registrada</x:t>
        </x:is>
      </x:c>
      <x:c r="G5" s="8" t="inlineStr">
        <x:is>
          <x:t xml:space="preserve">Fonte</x:t>
        </x:is>
      </x:c>
      <x:c r="H5" s="8" t="inlineStr">
        <x:is>
          <x:t xml:space="preserve">Tarefas</x:t>
        </x:is>
      </x:c>
      <x:c r="I5" s="8" t="inlineStr">
        <x:is>
          <x:t xml:space="preserve">Natureza</x:t>
        </x:is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Marcar divergência e manter o título sem baixa até a análise. Casos complementares serão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previstas/aprovadas permanecem; implementar contrato técnico com mesmos dados/filtros e Excel quando especificado, sem perguntar novamente se a função entra.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Botões e navegação seguem referência aprovada; contrato de execução e exportação é detalhamento técnico, sem redesenhar ou retirar função existente.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Usuário, perfil e capacidade com menor privilégio; atribuição concreta é configuração administrativa explícita na implantação, sem hardcode por pessoa.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O lucro elegível usa a DRE calculada pelo Majucau conforme regras aprovadas, de janeiro até M−2, menos Já Investido (aportes de principal − resgates de principal; rendimentos separados). Seguindo a planilha enviada, o caixa projetado na semana de maior despesa soma o saldo da semana crítica e os recebimentos previstos da Nuvemshop; na integração, confirmar que os recebimentos não estejam já incluídos no saldo para evitar duplicidade. Máximo aplicável = MAX(0; MIN(caixa projetado − reserva mínima de R$ 50.000; lucro elegível)). Valor executável limitado ao saldo transferível do Itaú; tela apenas para consulta. Se a reserva mínima puder ser comprometida, sugerir uma reserva alternativa; o cálculo será definido no documento atualizado pela usuária e não deve ser inventado. Cartão/MDR/parcelas não pertencem à calculadora.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exportações aprovadas, inclusive Excel onde especificado. Arquivo usa os mesmos dados, filtros, período, snapshot e métricas da tela.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allowBlank="0" showDropDown="0" showInputMessage="0" showErrorMessage="0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77f6f26ffc412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2.5" customWidth="1"/>
    <x:col min="2" max="2" width="36.880001068115234" customWidth="1"/>
    <x:col min="3" max="3" width="38.130001068115234" customWidth="1"/>
    <x:col min="4" max="4" width="70" customWidth="1"/>
    <x:col min="5" max="5" width="15.630000114440918" customWidth="1"/>
  </x:cols>
  <x:sheetData>
    <x:row r="1" ht="28" customHeight="1">
      <x:c r="A1" s="2" t="n"/>
      <x:c r="B1" s="2" t="n"/>
      <x:c r="C1" s="2" t="n"/>
      <x:c r="D1" s="2" t="n"/>
      <x:c r="E1" s="2" t="n"/>
    </x:row>
    <x:row r="2" ht="28" customHeight="1">
      <x:c r="A2" s="3" t="inlineStr">
        <x:is>
          <x:t xml:space="preserve">Majucau — cobertura dos módulos</x:t>
        </x:is>
      </x:c>
      <x:c r="B2" s="2" t="n"/>
      <x:c r="C2" s="2" t="n"/>
      <x:c r="D2" s="2" t="n"/>
      <x:c r="E2" s="2" t="n"/>
    </x:row>
    <x:row r="3" ht="28" customHeight="1">
      <x:c r="A3" s="2" t="inlineStr">
        <x:is>
          <x:t xml:space="preserve">Balanço Patrimonial foi excluído por decisão atual. Itens incompletos permanecem para refinamento.</x:t>
        </x:is>
      </x:c>
      <x:c r="B3" s="2" t="n"/>
      <x:c r="C3" s="2" t="n"/>
      <x:c r="D3" s="2" t="n"/>
      <x:c r="E3" s="2" t="n"/>
    </x:row>
    <x:row r="4" ht="28" customHeight="1">
      <x:c r="A4" s="2" t="n"/>
      <x:c r="B4" s="2" t="n"/>
      <x:c r="C4" s="2" t="n"/>
      <x:c r="D4" s="2" t="n"/>
      <x:c r="E4" s="2" t="n"/>
    </x:row>
    <x:row r="5" ht="34" customHeight="1">
      <x:c r="A5" s="8" t="inlineStr">
        <x:is>
          <x:t xml:space="preserve">Identificação</x:t>
        </x:is>
      </x:c>
      <x:c r="B5" s="8" t="inlineStr">
        <x:is>
          <x:t xml:space="preserve">Módulo</x:t>
        </x:is>
      </x:c>
      <x:c r="C5" s="8" t="inlineStr">
        <x:is>
          <x:t xml:space="preserve">Material disponível</x:t>
        </x:is>
      </x:c>
      <x:c r="D5" s="8" t="inlineStr">
        <x:is>
          <x:t xml:space="preserve">Referência</x:t>
        </x:is>
      </x:c>
      <x:c r="E5" s="8" t="inlineStr">
        <x:is>
          <x:t xml:space="preserve">Tarefa de interface</x:t>
        </x:is>
      </x:c>
    </x:row>
    <x:row r="6" ht="54" customHeight="1">
      <x:c r="A6" s="10" t="inlineStr">
        <x:is>
          <x:t xml:space="preserve">T01</x:t>
        </x:is>
      </x:c>
      <x:c r="B6" s="10" t="inlineStr">
        <x:is>
          <x:t xml:space="preserve">Visão Executiva</x:t>
        </x:is>
      </x:c>
      <x:c r="C6" s="10" t="inlineStr">
        <x:is>
          <x:t xml:space="preserve">Referência aprovada a localizar no pacote</x:t>
        </x:is>
      </x:c>
      <x:c r="D6" s="10" t="inlineStr">
        <x:is>
          <x:t xml:space="preserve">Menus; fechamento vigente (função/fonte)</x:t>
        </x:is>
      </x:c>
      <x:c r="E6" s="10" t="inlineStr">
        <x:is>
          <x:t xml:space="preserve">BK-102</x:t>
        </x:is>
      </x:c>
    </x:row>
    <x:row r="7" ht="54" customHeight="1">
      <x:c r="A7" s="11" t="inlineStr">
        <x:is>
          <x:t xml:space="preserve">T02</x:t>
        </x:is>
      </x:c>
      <x:c r="B7" s="11" t="inlineStr">
        <x:is>
          <x:t xml:space="preserve">Fluxo de Caixa</x:t>
        </x:is>
      </x:c>
      <x:c r="C7" s="11" t="inlineStr">
        <x:is>
          <x:t xml:space="preserve">Imagem recebida</x:t>
        </x:is>
      </x:c>
      <x:c r="D7" s="11" t="inlineStr">
        <x:is>
          <x:t xml:space="preserve">T02_Fluxo_de_Caixa.png; fechamento vigente (função/fonte)</x:t>
        </x:is>
      </x:c>
      <x:c r="E7" s="11" t="inlineStr">
        <x:is>
          <x:t xml:space="preserve">BK-062</x:t>
        </x:is>
      </x:c>
    </x:row>
    <x:row r="8" ht="54" customHeight="1">
      <x:c r="A8" s="10" t="inlineStr">
        <x:is>
          <x:t xml:space="preserve">T03</x:t>
        </x:is>
      </x:c>
      <x:c r="B8" s="10" t="inlineStr">
        <x:is>
          <x:t xml:space="preserve">Contas a Receber</x:t>
        </x:is>
      </x:c>
      <x:c r="C8" s="10" t="inlineStr">
        <x:is>
          <x:t xml:space="preserve">Imagem recebida</x:t>
        </x:is>
      </x:c>
      <x:c r="D8" s="10" t="inlineStr">
        <x:is>
          <x:t xml:space="preserve">T03_Contas_a_Receber.png; fechamento vigente (função/fonte)</x:t>
        </x:is>
      </x:c>
      <x:c r="E8" s="10" t="inlineStr">
        <x:is>
          <x:t xml:space="preserve">BK-057</x:t>
        </x:is>
      </x:c>
    </x:row>
    <x:row r="9" ht="54" customHeight="1">
      <x:c r="A9" s="11" t="inlineStr">
        <x:is>
          <x:t xml:space="preserve">T04</x:t>
        </x:is>
      </x:c>
      <x:c r="B9" s="11" t="inlineStr">
        <x:is>
          <x:t xml:space="preserve">Contas a Pagar</x:t>
        </x:is>
      </x:c>
      <x:c r="C9" s="11" t="inlineStr">
        <x:is>
          <x:t xml:space="preserve">Imagem recebida</x:t>
        </x:is>
      </x:c>
      <x:c r="D9" s="11" t="inlineStr">
        <x:is>
          <x:t xml:space="preserve">T04_Contas_a_Pagar.png; fechamento vigente (função/fonte)</x:t>
        </x:is>
      </x:c>
      <x:c r="E9" s="11" t="inlineStr">
        <x:is>
          <x:t xml:space="preserve">BK-059</x:t>
        </x:is>
      </x:c>
    </x:row>
    <x:row r="10" ht="54" customHeight="1">
      <x:c r="A10" s="10" t="inlineStr">
        <x:is>
          <x:t xml:space="preserve">T05</x:t>
        </x:is>
      </x:c>
      <x:c r="B10" s="10" t="inlineStr">
        <x:is>
          <x:t xml:space="preserve">Conciliação</x:t>
        </x:is>
      </x:c>
      <x:c r="C10" s="10" t="inlineStr">
        <x:is>
          <x:t xml:space="preserve">Imagem recebida</x:t>
        </x:is>
      </x:c>
      <x:c r="D10" s="10" t="inlineStr">
        <x:is>
          <x:t xml:space="preserve">T05_Conciliacao.png; fechamento vigente (função/fonte)</x:t>
        </x:is>
      </x:c>
      <x:c r="E10" s="10" t="inlineStr">
        <x:is>
          <x:t xml:space="preserve">BK-055</x:t>
        </x:is>
      </x:c>
    </x:row>
    <x:row r="11" ht="54" customHeight="1">
      <x:c r="A11" s="11" t="inlineStr">
        <x:is>
          <x:t xml:space="preserve">T06</x:t>
        </x:is>
      </x:c>
      <x:c r="B11" s="11" t="inlineStr">
        <x:is>
          <x:t xml:space="preserve">DRE</x:t>
        </x:is>
      </x:c>
      <x:c r="C11" s="11" t="inlineStr">
        <x:is>
          <x:t xml:space="preserve">Imagem recebida</x:t>
        </x:is>
      </x:c>
      <x:c r="D11" s="11" t="inlineStr">
        <x:is>
          <x:t xml:space="preserve">T06_DRE.png; fechamento vigente (função/fonte)</x:t>
        </x:is>
      </x:c>
      <x:c r="E11" s="11" t="inlineStr">
        <x:is>
          <x:t xml:space="preserve">BK-067</x:t>
        </x:is>
      </x:c>
    </x:row>
    <x:row r="12" ht="54" customHeight="1">
      <x:c r="A12" s="10" t="inlineStr">
        <x:is>
          <x:t xml:space="preserve">T07</x:t>
        </x:is>
      </x:c>
      <x:c r="B12" s="10" t="inlineStr">
        <x:is>
          <x:t xml:space="preserve">Balancete</x:t>
        </x:is>
      </x:c>
      <x:c r="C12" s="10" t="inlineStr">
        <x:is>
          <x:t xml:space="preserve">Imagem recebida</x:t>
        </x:is>
      </x:c>
      <x:c r="D12" s="10" t="inlineStr">
        <x:is>
          <x:t xml:space="preserve">T07_Balancete.png; fechamento vigente (função/fonte)</x:t>
        </x:is>
      </x:c>
      <x:c r="E12" s="10" t="inlineStr">
        <x:is>
          <x:t xml:space="preserve">BK-069</x:t>
        </x:is>
      </x:c>
    </x:row>
    <x:row r="13" ht="54" customHeight="1">
      <x:c r="A13" s="11" t="inlineStr">
        <x:is>
          <x:t xml:space="preserve">T08</x:t>
        </x:is>
      </x:c>
      <x:c r="B13" s="11" t="inlineStr">
        <x:is>
          <x:t xml:space="preserve">Calculadora de Aplicação</x:t>
        </x:is>
      </x:c>
      <x:c r="C13" s="11" t="inlineStr">
        <x:is>
          <x:t xml:space="preserve">Imagem recebida</x:t>
        </x:is>
      </x:c>
      <x:c r="D13" s="11" t="inlineStr">
        <x:is>
          <x:t xml:space="preserve">T08_Calculadora_de_Aplicacao.png; fechamento vigente (função/fonte)</x:t>
        </x:is>
      </x:c>
      <x:c r="E13" s="11" t="inlineStr">
        <x:is>
          <x:t xml:space="preserve">BK-073</x:t>
        </x:is>
      </x:c>
    </x:row>
    <x:row r="14" ht="54" customHeight="1">
      <x:c r="A14" s="10" t="inlineStr">
        <x:is>
          <x:t xml:space="preserve">T09</x:t>
        </x:is>
      </x:c>
      <x:c r="B14" s="10" t="inlineStr">
        <x:is>
          <x:t xml:space="preserve">Estoque</x:t>
        </x:is>
      </x:c>
      <x:c r="C14" s="10" t="inlineStr">
        <x:is>
          <x:t xml:space="preserve">Imagem recebida</x:t>
        </x:is>
      </x:c>
      <x:c r="D14" s="10" t="inlineStr">
        <x:is>
          <x:t xml:space="preserve">T09_Estoque.png; fechamento vigente (função/fonte)</x:t>
        </x:is>
      </x:c>
      <x:c r="E14" s="10" t="inlineStr">
        <x:is>
          <x:t xml:space="preserve">BK-078</x:t>
        </x:is>
      </x:c>
    </x:row>
    <x:row r="15" ht="54" customHeight="1">
      <x:c r="A15" s="11" t="inlineStr">
        <x:is>
          <x:t xml:space="preserve">T10</x:t>
        </x:is>
      </x:c>
      <x:c r="B15" s="11" t="inlineStr">
        <x:is>
          <x:t xml:space="preserve">Produção</x:t>
        </x:is>
      </x:c>
      <x:c r="C15" s="11" t="inlineStr">
        <x:is>
          <x:t xml:space="preserve">2 arquivos idênticos</x:t>
        </x:is>
      </x:c>
      <x:c r="D15" s="11" t="inlineStr">
        <x:is>
          <x:t xml:space="preserve">T10_Producao.png + ChatGPT Image 12 de set. de 2026, 20_48_11.png; fechamento vigente (função/fonte)</x:t>
        </x:is>
      </x:c>
      <x:c r="E15" s="11" t="inlineStr">
        <x:is>
          <x:t xml:space="preserve">BK-081</x:t>
        </x:is>
      </x:c>
    </x:row>
    <x:row r="16" ht="54" customHeight="1">
      <x:c r="A16" s="10" t="inlineStr">
        <x:is>
          <x:t xml:space="preserve">T11</x:t>
        </x:is>
      </x:c>
      <x:c r="B16" s="10" t="inlineStr">
        <x:is>
          <x:t xml:space="preserve">Compras</x:t>
        </x:is>
      </x:c>
      <x:c r="C16" s="10" t="inlineStr">
        <x:is>
          <x:t xml:space="preserve">Contrato recebido; visual aprovado a localizar</x:t>
        </x:is>
      </x:c>
      <x:c r="D16" s="10" t="inlineStr">
        <x:is>
          <x:t xml:space="preserve">Q_CEI_Tela_11; fechamento vigente (função/fonte)</x:t>
        </x:is>
      </x:c>
      <x:c r="E16" s="10" t="inlineStr">
        <x:is>
          <x:t xml:space="preserve">BK-086</x:t>
        </x:is>
      </x:c>
    </x:row>
    <x:row r="17" ht="54" customHeight="1">
      <x:c r="A17" s="11" t="inlineStr">
        <x:is>
          <x:t xml:space="preserve">T12</x:t>
        </x:is>
      </x:c>
      <x:c r="B17" s="11" t="inlineStr">
        <x:is>
          <x:t xml:space="preserve">Projeções</x:t>
        </x:is>
      </x:c>
      <x:c r="C17" s="11" t="inlineStr">
        <x:is>
          <x:t xml:space="preserve">Imagem e contrato</x:t>
        </x:is>
      </x:c>
      <x:c r="D17" s="11" t="inlineStr">
        <x:is>
          <x:t xml:space="preserve">T12_Projecoes.png + R_CEI_Tela_12; fechamento vigente (função/fonte)</x:t>
        </x:is>
      </x:c>
      <x:c r="E17" s="11" t="inlineStr">
        <x:is>
          <x:t xml:space="preserve">BK-096</x:t>
        </x:is>
      </x:c>
    </x:row>
    <x:row r="18" ht="54" customHeight="1">
      <x:c r="A18" s="10" t="inlineStr">
        <x:is>
          <x:t xml:space="preserve">T13</x:t>
        </x:is>
      </x:c>
      <x:c r="B18" s="10" t="inlineStr">
        <x:is>
          <x:t xml:space="preserve">Lançamentos e Pendências</x:t>
        </x:is>
      </x:c>
      <x:c r="C18" s="10" t="inlineStr">
        <x:is>
          <x:t xml:space="preserve">Imagem e contrato</x:t>
        </x:is>
      </x:c>
      <x:c r="D18" s="10" t="inlineStr">
        <x:is>
          <x:t xml:space="preserve">T13_Lancamentos_e_Pendencias.png + S_CEI_Tela_13; fechamento vigente (função/fonte)</x:t>
        </x:is>
      </x:c>
      <x:c r="E18" s="10" t="inlineStr">
        <x:is>
          <x:t xml:space="preserve">BK-099</x:t>
        </x:is>
      </x:c>
    </x:row>
    <x:row r="19" ht="54" customHeight="1">
      <x:c r="A19" s="11" t="inlineStr">
        <x:is>
          <x:t xml:space="preserve">T14</x:t>
        </x:is>
      </x:c>
      <x:c r="B19" s="11" t="inlineStr">
        <x:is>
          <x:t xml:space="preserve">Alertas</x:t>
        </x:is>
      </x:c>
      <x:c r="C19" s="11" t="inlineStr">
        <x:is>
          <x:t xml:space="preserve">Imagem e contrato</x:t>
        </x:is>
      </x:c>
      <x:c r="D19" s="11" t="inlineStr">
        <x:is>
          <x:t xml:space="preserve">T14_Alertas.png + T_CEI_Tela_14; fechamento vigente (função/fonte)</x:t>
        </x:is>
      </x:c>
      <x:c r="E19" s="11" t="inlineStr">
        <x:is>
          <x:t xml:space="preserve">BK-101</x:t>
        </x:is>
      </x:c>
    </x:row>
    <x:row r="20" ht="54" customHeight="1">
      <x:c r="A20" s="10" t="inlineStr">
        <x:is>
          <x:t xml:space="preserve">T15</x:t>
        </x:is>
      </x:c>
      <x:c r="B20" s="10" t="inlineStr">
        <x:is>
          <x:t xml:space="preserve">Importações e Integrações</x:t>
        </x:is>
      </x:c>
      <x:c r="C20" s="10" t="inlineStr">
        <x:is>
          <x:t xml:space="preserve">Imagem e contrato</x:t>
        </x:is>
      </x:c>
      <x:c r="D20" s="10" t="inlineStr">
        <x:is>
          <x:t xml:space="preserve">T15_Importacoes_e_Integracoes.png + U_CEI_Tela_15; fechamento vigente (função/fonte)</x:t>
        </x:is>
      </x:c>
      <x:c r="E20" s="10" t="inlineStr">
        <x:is>
          <x:t xml:space="preserve">BK-052</x:t>
        </x:is>
      </x:c>
    </x:row>
    <x:row r="21" ht="54" customHeight="1">
      <x:c r="A21" s="11" t="inlineStr">
        <x:is>
          <x:t xml:space="preserve">T16</x:t>
        </x:is>
      </x:c>
      <x:c r="B21" s="11" t="inlineStr">
        <x:is>
          <x:t xml:space="preserve">Parâmetros</x:t>
        </x:is>
      </x:c>
      <x:c r="C21" s="11" t="inlineStr">
        <x:is>
          <x:t xml:space="preserve">Imagem e contrato</x:t>
        </x:is>
      </x:c>
      <x:c r="D21" s="11" t="inlineStr">
        <x:is>
          <x:t xml:space="preserve">T16_Parametros.png + V_Mockup_Tela_16 + W_CEI_Tela_16; fechamento vigente (função/fonte)</x:t>
        </x:is>
      </x:c>
      <x:c r="E21" s="11" t="inlineStr">
        <x:is>
          <x:t xml:space="preserve">BK-037</x:t>
        </x:is>
      </x:c>
    </x:row>
    <x:row r="22" ht="54" customHeight="1">
      <x:c r="A22" s="10" t="inlineStr">
        <x:is>
          <x:t xml:space="preserve">T17</x:t>
        </x:is>
      </x:c>
      <x:c r="B22" s="10" t="inlineStr">
        <x:is>
          <x:t xml:space="preserve">Usuários</x:t>
        </x:is>
      </x:c>
      <x:c r="C22" s="10" t="inlineStr">
        <x:is>
          <x:t xml:space="preserve">Imagem e contrato</x:t>
        </x:is>
      </x:c>
      <x:c r="D22" s="10" t="inlineStr">
        <x:is>
          <x:t xml:space="preserve">T17_Usuarios.png + X_Mockup_Tela_17 + Y_CEI_Tela_17; fechamento vigente (função/fonte)</x:t>
        </x:is>
      </x:c>
      <x:c r="E22" s="10" t="inlineStr">
        <x:is>
          <x:t xml:space="preserve">BK-035</x:t>
        </x:is>
      </x:c>
    </x:row>
    <x:row r="23" ht="54" customHeight="1">
      <x:c r="A23" s="11" t="inlineStr">
        <x:is>
          <x:t xml:space="preserve">Sem número confirmado</x:t>
        </x:is>
      </x:c>
      <x:c r="B23" s="11" t="inlineStr">
        <x:is>
          <x:t xml:space="preserve">Aplicações</x:t>
        </x:is>
      </x:c>
      <x:c r="C23" s="11" t="inlineStr">
        <x:is>
          <x:t xml:space="preserve">Referência aprovada a localizar no pacote</x:t>
        </x:is>
      </x:c>
      <x:c r="D23" s="11" t="inlineStr">
        <x:is>
          <x:t xml:space="preserve">Menu + T08; fechamento vigente (função/fonte)</x:t>
        </x:is>
      </x:c>
      <x:c r="E23" s="11" t="inlineStr">
        <x:is>
          <x:t xml:space="preserve">BK-074</x:t>
        </x:is>
      </x:c>
    </x:row>
    <x:row r="24" ht="54" customHeight="1">
      <x:c r="A24" s="10" t="inlineStr">
        <x:is>
          <x:t xml:space="preserve">Bloco a localizar</x:t>
        </x:is>
      </x:c>
      <x:c r="B24" s="10" t="inlineStr">
        <x:is>
          <x:t xml:space="preserve">Pricing / preço e margem</x:t>
        </x:is>
      </x:c>
      <x:c r="C24" s="10" t="inlineStr">
        <x:is>
          <x:t xml:space="preserve">Localizar referência funcional/visual aprovada</x:t>
        </x:is>
      </x:c>
      <x:c r="D24" s="10" t="inlineStr">
        <x:is>
          <x:t xml:space="preserve">M-021..M-023; fechamento vigente (função/fonte)</x:t>
        </x:is>
      </x:c>
      <x:c r="E24" s="10" t="inlineStr">
        <x:is>
          <x:t xml:space="preserve">BK-075</x:t>
        </x:is>
      </x:c>
    </x:row>
    <x:row r="25" ht="54" customHeight="1">
      <x:c r="A25" s="11" t="inlineStr">
        <x:is>
          <x:t xml:space="preserve">Bloco a localizar</x:t>
        </x:is>
      </x:c>
      <x:c r="B25" s="11" t="inlineStr">
        <x:is>
          <x:t xml:space="preserve">Logística</x:t>
        </x:is>
      </x:c>
      <x:c r="C25" s="11" t="inlineStr">
        <x:is>
          <x:t xml:space="preserve">Localizar referência funcional/visual aprovada</x:t>
        </x:is>
      </x:c>
      <x:c r="D25" s="11" t="inlineStr">
        <x:is>
          <x:t xml:space="preserve">M-013..M-016; fechamento vigente (função/fonte)</x:t>
        </x:is>
      </x:c>
      <x:c r="E25" s="11" t="inlineStr">
        <x:is>
          <x:t xml:space="preserve">BK-076</x:t>
        </x:is>
      </x:c>
    </x:row>
    <x:row r="26" ht="54" customHeight="1">
      <x:c r="A26" s="10" t="inlineStr">
        <x:is>
          <x:t xml:space="preserve">Escopo a detalhar</x:t>
        </x:is>
      </x:c>
      <x:c r="B26" s="10" t="inlineStr">
        <x:is>
          <x:t xml:space="preserve">Produtos, Simuladores e Relatórios</x:t>
        </x:is>
      </x:c>
      <x:c r="C26" s="10" t="inlineStr">
        <x:is>
          <x:t xml:space="preserve">Localizar referência funcional/visual aprovada</x:t>
        </x:is>
      </x:c>
      <x:c r="D26" s="10" t="inlineStr">
        <x:is>
          <x:t xml:space="preserve">T12/T13; fechamento vigente (função/fonte)</x:t>
        </x:is>
      </x:c>
      <x:c r="E26" s="10" t="inlineStr">
        <x:is>
          <x:t xml:space="preserve">BK-103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ced378c258b24ae6"/>
  </x:tableParts>
</x:worksheet>
</file>