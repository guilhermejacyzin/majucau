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volucao" sheetId="1" state="visible" r:id="rId1"/>
    <sheet name="Tarefas" sheetId="2" state="visible" r:id="rId2"/>
    <sheet name="Decisoes" sheetId="3" state="visible" r:id="rId3"/>
    <sheet name="Cobertura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rlito"/>
      <sz val="11"/>
    </font>
    <font>
      <name val="Arial"/>
      <color rgb="FF173445"/>
      <sz val="10"/>
    </font>
    <font>
      <name val="Arial"/>
      <b val="1"/>
      <color rgb="FF0B3346"/>
      <sz val="16"/>
    </font>
    <font>
      <name val="Arial"/>
      <i val="1"/>
      <color rgb="FF566C7A"/>
      <sz val="10"/>
    </font>
    <font>
      <name val="Arial"/>
      <b val="1"/>
      <color rgb="FFFFFFFF"/>
      <sz val="10"/>
    </font>
    <font>
      <name val="Arial"/>
      <b val="1"/>
      <color rgb="FF087E87"/>
      <sz val="14"/>
    </font>
    <font>
      <name val="Arial"/>
      <b val="1"/>
      <color rgb="FF0B3346"/>
      <sz val="10"/>
    </font>
  </fonts>
  <fills count="5">
    <fill>
      <patternFill/>
    </fill>
    <fill>
      <patternFill patternType="gray125"/>
    </fill>
    <fill>
      <patternFill patternType="solid">
        <fgColor rgb="FF0B3346"/>
      </patternFill>
    </fill>
    <fill>
      <patternFill patternType="solid">
        <fgColor rgb="FFF0F5F7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9" fontId="1" fillId="3" borderId="0" applyAlignment="1" pivotButton="0" quotePrefix="0" xfId="0">
      <alignment horizontal="right" vertical="center" wrapText="1"/>
    </xf>
    <xf numFmtId="9" fontId="1" fillId="0" borderId="0" applyAlignment="1" pivotButton="0" quotePrefix="0" xfId="0">
      <alignment horizontal="right" vertical="center" wrapText="1"/>
    </xf>
    <xf numFmtId="1" fontId="1" fillId="4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9" fontId="1" fillId="3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1" fontId="1" fillId="4" borderId="0" applyAlignment="1" pivotButton="0" quotePrefix="0" xfId="0">
      <alignment horizontal="right" vertical="center" wrapText="1"/>
    </xf>
    <xf numFmtId="9" fontId="1" fillId="3" borderId="0" applyAlignment="1" pivotButton="0" quotePrefix="0" xfId="0">
      <alignment horizontal="right" vertical="center" wrapText="1"/>
    </xf>
    <xf numFmtId="9" fontId="1" fillId="0" borderId="0" applyAlignment="1" pivotButton="0" quotePrefix="0" xfId="0">
      <alignment horizontal="right" vertical="center" wrapText="1"/>
    </xf>
  </cellXfs>
  <cellStyles count="1">
    <cellStyle name="Normal" xfId="0"/>
  </cellStyles>
  <dxfs count="1">
    <dxf>
      <font>
        <color rgb="FFA12622"/>
      </font>
      <fill>
        <patternFill>
          <bgColor rgb="FFFDE4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MajucauTarefas" displayName="MajucauTarefas" ref="A5:M132" headerRowCount="1" totalsRowCount="0" totalsRowShown="0">
  <tableColumns count="13">
    <tableColumn id="1" name="ID"/>
    <tableColumn id="2" name="Fase"/>
    <tableColumn id="3" name="Tarefa"/>
    <tableColumn id="4" name="Natureza"/>
    <tableColumn id="5" name="Situação"/>
    <tableColumn id="6" name="Peso"/>
    <tableColumn id="7" name="Evolução"/>
    <tableColumn id="8" name="Evidência de aceite"/>
    <tableColumn id="9" name="Responsável sugerido"/>
    <tableColumn id="10" name="Dependências"/>
    <tableColumn id="11" name="Decisões a acompanhar"/>
    <tableColumn id="12" name="Referências"/>
    <tableColumn id="13" name="Peso concluí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jucauDecisoes" displayName="MajucauDecisoes" ref="A5:I113" headerRowCount="1" totalsRowCount="0" totalsRowShown="0">
  <tableColumns count="9">
    <tableColumn id="1" name="ID"/>
    <tableColumn id="2" name="Tema"/>
    <tableColumn id="3" name="Situação"/>
    <tableColumn id="4" name="Definição / verificação necessária"/>
    <tableColumn id="5" name="Impacto"/>
    <tableColumn id="6" name="Resposta registrada"/>
    <tableColumn id="7" name="Fonte"/>
    <tableColumn id="8" name="Tarefas"/>
    <tableColumn id="9" name="Naturez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jucauCobertura" displayName="MajucauCobertura" ref="A5:E26" headerRowCount="1" totalsRowCount="0" totalsRowShown="0">
  <tableColumns count="5">
    <tableColumn id="1" name="Identificação"/>
    <tableColumn id="2" name="Módulo"/>
    <tableColumn id="3" name="Material disponível"/>
    <tableColumn id="4" name="Referência"/>
    <tableColumn id="5" name="Tarefa de interfa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rgb="FF0B3346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36.88000106811523" customWidth="1" min="1" max="1"/>
    <col width="15.63000011444092" customWidth="1" min="2" max="2"/>
    <col width="21.25" customWidth="1" min="3" max="3"/>
    <col width="3.5" customWidth="1" min="4" max="4"/>
    <col width="42.5" customWidth="1" min="5" max="5"/>
    <col width="37.5" customWidth="1" min="6" max="6"/>
    <col width="18.75" customWidth="1" min="7" max="7"/>
  </cols>
  <sheetData>
    <row r="1" ht="28" customHeight="1">
      <c r="A1" s="2" t="n"/>
      <c r="B1" s="2" t="n"/>
      <c r="C1" s="2" t="n"/>
      <c r="D1" s="2" t="n"/>
      <c r="E1" s="2" t="n"/>
      <c r="F1" s="2" t="n"/>
      <c r="G1" s="2" t="n"/>
    </row>
    <row r="2" ht="28" customHeight="1">
      <c r="A2" s="3" t="inlineStr">
        <is>
          <t>Majucau — evolução do backlog</t>
        </is>
      </c>
      <c r="B2" s="2" t="n"/>
      <c r="C2" s="2" t="n"/>
      <c r="D2" s="2" t="n"/>
      <c r="E2" s="2" t="n"/>
      <c r="F2" s="2" t="n"/>
      <c r="G2" s="2" t="n"/>
    </row>
    <row r="3" ht="28" customHeight="1">
      <c r="A3" s="4" t="inlineStr">
        <is>
          <t>Status atualizado em 10/10/2026 | fechamento funcional de 13/09/2026</t>
        </is>
      </c>
      <c r="B3" s="2" t="n"/>
      <c r="C3" s="2" t="n"/>
      <c r="D3" s="2" t="n"/>
      <c r="E3" s="2" t="n"/>
      <c r="F3" s="2" t="n"/>
      <c r="G3" s="2" t="n"/>
    </row>
    <row r="4" ht="28" customHeight="1">
      <c r="A4" s="2" t="n"/>
      <c r="B4" s="2" t="n"/>
      <c r="C4" s="2" t="n"/>
      <c r="D4" s="2" t="n"/>
      <c r="E4" s="2" t="n"/>
      <c r="F4" s="2" t="n"/>
      <c r="G4" s="2" t="n"/>
    </row>
    <row r="5" ht="34" customHeight="1">
      <c r="A5" s="8" t="inlineStr">
        <is>
          <t>Medida</t>
        </is>
      </c>
      <c r="B5" s="8" t="inlineStr">
        <is>
          <t>Valor</t>
        </is>
      </c>
      <c r="C5" s="8" t="inlineStr">
        <is>
          <t>Interpretação</t>
        </is>
      </c>
      <c r="D5" s="2" t="n"/>
      <c r="E5" s="8" t="inlineStr">
        <is>
          <t>Decisões já recebidas</t>
        </is>
      </c>
      <c r="F5" s="8" t="str"/>
      <c r="G5" s="8" t="str"/>
    </row>
    <row r="6" ht="30" customHeight="1">
      <c r="A6" s="2" t="inlineStr">
        <is>
          <t>Tarefas no catálogo</t>
        </is>
      </c>
      <c r="B6" s="22" t="n">
        <v>127</v>
      </c>
      <c r="C6" s="11" t="inlineStr">
        <is>
          <t>Escopo provisório</t>
        </is>
      </c>
      <c r="D6" s="2" t="n"/>
      <c r="E6" s="2" t="inlineStr">
        <is>
          <t>Empresa</t>
        </is>
      </c>
      <c r="F6" s="2" t="inlineStr">
        <is>
          <t>Somente Majucau</t>
        </is>
      </c>
      <c r="G6" s="2" t="n"/>
    </row>
    <row r="7" ht="30" customHeight="1">
      <c r="A7" s="2" t="inlineStr">
        <is>
          <t>Levantamentos concluídos</t>
        </is>
      </c>
      <c r="B7" s="22">
        <f>COUNTIFS('Tarefas'!$D$6:$D$132,"Planejamento",'Tarefas'!$G$6:$G$132,1)</f>
        <v>4</v>
      </c>
      <c r="C7" s="11" t="inlineStr">
        <is>
          <t>Com evidência</t>
        </is>
      </c>
      <c r="D7" s="2" t="n"/>
      <c r="E7" s="2" t="inlineStr">
        <is>
          <t>Usuários</t>
        </is>
      </c>
      <c r="F7" s="2" t="inlineStr">
        <is>
          <t>3 diretores</t>
        </is>
      </c>
      <c r="G7" s="2" t="n"/>
    </row>
    <row r="8" ht="30" customHeight="1">
      <c r="A8" s="2" t="inlineStr">
        <is>
          <t>Conclusão por peso</t>
        </is>
      </c>
      <c r="B8" s="27">
        <f>SUM('Tarefas'!$M$6:$M$132)/SUM('Tarefas'!$F$6:$F$132)</f>
        <v>0.031496062992126</v>
      </c>
      <c r="C8" s="11" t="inlineStr">
        <is>
          <t>Peso inicial = 1</t>
        </is>
      </c>
      <c r="D8" s="2" t="n"/>
      <c r="E8" s="2" t="inlineStr">
        <is>
          <t>Hospedagem</t>
        </is>
      </c>
      <c r="F8" s="2" t="inlineStr">
        <is>
          <t>Atual local; destino privado centralizado</t>
        </is>
      </c>
      <c r="G8" s="2" t="n"/>
    </row>
    <row r="9" ht="30" customHeight="1">
      <c r="A9" s="2" t="inlineStr">
        <is>
          <t>Tarefas de desenvolvimento concluídas</t>
        </is>
      </c>
      <c r="B9" s="27">
        <f>SUMIFS('Tarefas'!$M$6:$M$132,'Tarefas'!$D$6:$D$132,"Desenvolvimento")/SUMIFS('Tarefas'!$F$6:$F$132,'Tarefas'!$D$6:$D$132,"Desenvolvimento")</f>
        <v>0</v>
      </c>
      <c r="C9" s="11" t="inlineStr">
        <is>
          <t>Com evidência no rastreador</t>
        </is>
      </c>
      <c r="D9" s="2" t="n"/>
      <c r="E9" s="2" t="inlineStr">
        <is>
          <t>Primeira produção</t>
        </is>
      </c>
      <c r="F9" s="2" t="inlineStr">
        <is>
          <t>Todos os módulos confirmados</t>
        </is>
      </c>
      <c r="G9" s="2" t="n"/>
    </row>
    <row r="10" ht="30" customHeight="1">
      <c r="A10" s="2" t="inlineStr">
        <is>
          <t>Frentes técnicas</t>
        </is>
      </c>
      <c r="B10" s="22">
        <f>COUNTIFS('Decisoes'!$I$6:$I$113,"Homologação técnica")</f>
        <v>10</v>
      </c>
      <c r="C10" s="11" t="inlineStr">
        <is>
          <t>HT: execução futura</t>
        </is>
      </c>
      <c r="D10" s="2" t="n"/>
      <c r="E10" s="2" t="inlineStr">
        <is>
          <t>Pagamento diferente</t>
        </is>
      </c>
      <c r="F10" s="2" t="inlineStr">
        <is>
          <t>Divergência, sem baixa</t>
        </is>
      </c>
      <c r="G10" s="2" t="n"/>
    </row>
    <row r="11" ht="30" customHeight="1">
      <c r="A11" s="2" t="n"/>
      <c r="B11" s="2" t="n"/>
      <c r="C11" s="2" t="n"/>
      <c r="D11" s="2" t="n"/>
      <c r="E11" s="2" t="inlineStr">
        <is>
          <t>Semana crítica</t>
        </is>
      </c>
      <c r="F11" s="2" t="inlineStr">
        <is>
          <t>Maior total de despesas</t>
        </is>
      </c>
      <c r="G11" s="2" t="n"/>
    </row>
    <row r="12" ht="30" customHeight="1">
      <c r="A12" s="24" t="inlineStr">
        <is>
          <t>Avanço por fase</t>
        </is>
      </c>
      <c r="B12" s="2" t="n"/>
      <c r="C12" s="2" t="n"/>
      <c r="D12" s="2" t="n"/>
      <c r="E12" s="2" t="inlineStr">
        <is>
          <t>DRE</t>
        </is>
      </c>
      <c r="F12" s="2" t="inlineStr">
        <is>
          <t>Calculada pelo Majucau; Bling para comparação</t>
        </is>
      </c>
      <c r="G12" s="2" t="n"/>
    </row>
    <row r="13" ht="30" customHeight="1">
      <c r="A13" s="8" t="inlineStr">
        <is>
          <t>Fase</t>
        </is>
      </c>
      <c r="B13" s="8" t="inlineStr">
        <is>
          <t>Tarefas</t>
        </is>
      </c>
      <c r="C13" s="8" t="inlineStr">
        <is>
          <t>Concluído</t>
        </is>
      </c>
      <c r="D13" s="2" t="n"/>
      <c r="E13" s="2" t="inlineStr">
        <is>
          <t>Cards EBIT/EBITDA</t>
        </is>
      </c>
      <c r="F13" s="2" t="inlineStr">
        <is>
          <t>No lugar do card inferior UNMAPPED</t>
        </is>
      </c>
      <c r="G13" s="2" t="n"/>
    </row>
    <row r="14" ht="30" customHeight="1">
      <c r="A14" s="9" t="inlineStr">
        <is>
          <t>00 Descoberta e decisões</t>
        </is>
      </c>
      <c r="B14" s="9">
        <f>COUNTIFS('Tarefas'!$B$6:$B$132,A14)</f>
        <v>16</v>
      </c>
      <c r="C14" s="28">
        <f>SUMIFS('Tarefas'!$M$6:$M$132,'Tarefas'!$B$6:$B$132,A14)/SUMIFS('Tarefas'!$F$6:$F$132,'Tarefas'!$B$6:$B$132,A14)</f>
        <v>0.25</v>
      </c>
      <c r="D14" s="2" t="n"/>
      <c r="E14" s="2" t="inlineStr">
        <is>
          <t>Cards CAPEX</t>
        </is>
      </c>
      <c r="F14" s="2" t="inlineStr">
        <is>
          <t>Pago no mês e acumulado; fora do lucro</t>
        </is>
      </c>
      <c r="G14" s="2" t="n"/>
    </row>
    <row r="15" ht="30" customHeight="1">
      <c r="A15" s="2" t="inlineStr">
        <is>
          <t>01 Arquitetura e UX</t>
        </is>
      </c>
      <c r="B15" s="2">
        <f>COUNTIFS('Tarefas'!$B$6:$B$132,A15)</f>
        <v>9</v>
      </c>
      <c r="C15" s="29">
        <f>SUMIFS('Tarefas'!$M$6:$M$132,'Tarefas'!$B$6:$B$132,A15)/SUMIFS('Tarefas'!$F$6:$F$132,'Tarefas'!$B$6:$B$132,A15)</f>
        <v>0</v>
      </c>
      <c r="D15" s="2" t="n"/>
      <c r="E15" s="2" t="inlineStr">
        <is>
          <t>Balanço Patrimonial</t>
        </is>
      </c>
      <c r="F15" s="2" t="inlineStr">
        <is>
          <t>Fora do escopo</t>
        </is>
      </c>
      <c r="G15" s="2" t="n"/>
    </row>
    <row r="16" ht="30" customHeight="1">
      <c r="A16" s="9" t="inlineStr">
        <is>
          <t>02 Fundação do projeto</t>
        </is>
      </c>
      <c r="B16" s="9">
        <f>COUNTIFS('Tarefas'!$B$6:$B$132,A16)</f>
        <v>7</v>
      </c>
      <c r="C16" s="28">
        <f>SUMIFS('Tarefas'!$M$6:$M$132,'Tarefas'!$B$6:$B$132,A16)/SUMIFS('Tarefas'!$F$6:$F$132,'Tarefas'!$B$6:$B$132,A16)</f>
        <v>0</v>
      </c>
      <c r="D16" s="2" t="n"/>
      <c r="E16" s="2" t="inlineStr">
        <is>
          <t>Referências</t>
        </is>
      </c>
      <c r="F16" s="2" t="inlineStr">
        <is>
          <t>Última versão aprovada</t>
        </is>
      </c>
      <c r="G16" s="2" t="n"/>
    </row>
    <row r="17" ht="30" customHeight="1">
      <c r="A17" s="2" t="inlineStr">
        <is>
          <t>03 Identidade e configurações</t>
        </is>
      </c>
      <c r="B17" s="2">
        <f>COUNTIFS('Tarefas'!$B$6:$B$132,A17)</f>
        <v>6</v>
      </c>
      <c r="C17" s="29">
        <f>SUMIFS('Tarefas'!$M$6:$M$132,'Tarefas'!$B$6:$B$132,A17)/SUMIFS('Tarefas'!$F$6:$F$132,'Tarefas'!$B$6:$B$132,A17)</f>
        <v>0</v>
      </c>
      <c r="D17" s="2" t="n"/>
      <c r="E17" s="24" t="inlineStr">
        <is>
          <t>Como atualizar</t>
        </is>
      </c>
      <c r="F17" s="2" t="n"/>
      <c r="G17" s="2" t="n"/>
    </row>
    <row r="18" ht="29" customHeight="1">
      <c r="A18" s="9" t="inlineStr">
        <is>
          <t>04 Dados e integrações</t>
        </is>
      </c>
      <c r="B18" s="9">
        <f>COUNTIFS('Tarefas'!$B$6:$B$132,A18)</f>
        <v>15</v>
      </c>
      <c r="C18" s="28">
        <f>SUMIFS('Tarefas'!$M$6:$M$132,'Tarefas'!$B$6:$B$132,A18)/SUMIFS('Tarefas'!$F$6:$F$132,'Tarefas'!$B$6:$B$132,A18)</f>
        <v>0</v>
      </c>
      <c r="D18" s="2" t="n"/>
      <c r="E18" s="2" t="inlineStr">
        <is>
          <t>Na aba Tarefas, atualize Situação e Evidência de aceite.</t>
        </is>
      </c>
      <c r="F18" s="2" t="n"/>
      <c r="G18" s="2" t="n"/>
    </row>
    <row r="19" ht="29" customHeight="1">
      <c r="A19" s="2" t="inlineStr">
        <is>
          <t>05 Tesouraria e conciliação</t>
        </is>
      </c>
      <c r="B19" s="2">
        <f>COUNTIFS('Tarefas'!$B$6:$B$132,A19)</f>
        <v>10</v>
      </c>
      <c r="C19" s="29">
        <f>SUMIFS('Tarefas'!$M$6:$M$132,'Tarefas'!$B$6:$B$132,A19)/SUMIFS('Tarefas'!$F$6:$F$132,'Tarefas'!$B$6:$B$132,A19)</f>
        <v>0</v>
      </c>
      <c r="D19" s="2" t="n"/>
      <c r="E19" s="2" t="inlineStr">
        <is>
          <t>Concluída + evidência preenchida produz 100% na tarefa.</t>
        </is>
      </c>
      <c r="F19" s="2" t="n"/>
      <c r="G19" s="2" t="n"/>
    </row>
    <row r="20" ht="29" customHeight="1">
      <c r="A20" s="9" t="inlineStr">
        <is>
          <t>06 Resultados, perdas e aplicações</t>
        </is>
      </c>
      <c r="B20" s="9">
        <f>COUNTIFS('Tarefas'!$B$6:$B$132,A20)</f>
        <v>14</v>
      </c>
      <c r="C20" s="28">
        <f>SUMIFS('Tarefas'!$M$6:$M$132,'Tarefas'!$B$6:$B$132,A20)/SUMIFS('Tarefas'!$F$6:$F$132,'Tarefas'!$B$6:$B$132,A20)</f>
        <v>0</v>
      </c>
      <c r="D20" s="2" t="n"/>
      <c r="E20" s="2" t="inlineStr">
        <is>
          <t>Em andamento indica atividade; não conta como entrega concluída.</t>
        </is>
      </c>
      <c r="F20" s="2" t="n"/>
      <c r="G20" s="2" t="n"/>
    </row>
    <row r="21" ht="29" customHeight="1">
      <c r="A21" s="2" t="inlineStr">
        <is>
          <t>07 Estoque, produção e compras</t>
        </is>
      </c>
      <c r="B21" s="2">
        <f>COUNTIFS('Tarefas'!$B$6:$B$132,A21)</f>
        <v>10</v>
      </c>
      <c r="C21" s="29">
        <f>SUMIFS('Tarefas'!$M$6:$M$132,'Tarefas'!$B$6:$B$132,A21)/SUMIFS('Tarefas'!$F$6:$F$132,'Tarefas'!$B$6:$B$132,A21)</f>
        <v>0</v>
      </c>
      <c r="D21" s="2" t="n"/>
      <c r="E21" s="2" t="inlineStr">
        <is>
          <t>Peso inicial 1 mede quantidade, sem estimativa de esforço.</t>
        </is>
      </c>
      <c r="F21" s="2" t="n"/>
      <c r="G21" s="2" t="n"/>
    </row>
    <row r="22" ht="29" customHeight="1">
      <c r="A22" s="9" t="inlineStr">
        <is>
          <t>08 Projeções e cenários</t>
        </is>
      </c>
      <c r="B22" s="9">
        <f>COUNTIFS('Tarefas'!$B$6:$B$132,A22)</f>
        <v>11</v>
      </c>
      <c r="C22" s="28">
        <f>SUMIFS('Tarefas'!$M$6:$M$132,'Tarefas'!$B$6:$B$132,A22)/SUMIFS('Tarefas'!$F$6:$F$132,'Tarefas'!$B$6:$B$132,A22)</f>
        <v>0</v>
      </c>
      <c r="D22" s="2" t="n"/>
      <c r="E22" s="2" t="inlineStr">
        <is>
          <t>Após estimar com a equipe, revise os pesos e registre a mudança.</t>
        </is>
      </c>
      <c r="F22" s="2" t="n"/>
      <c r="G22" s="2" t="n"/>
    </row>
    <row r="23" ht="29" customHeight="1">
      <c r="A23" s="2" t="inlineStr">
        <is>
          <t>09 Controle e visão executiva</t>
        </is>
      </c>
      <c r="B23" s="2">
        <f>COUNTIFS('Tarefas'!$B$6:$B$132,A23)</f>
        <v>6</v>
      </c>
      <c r="C23" s="29">
        <f>SUMIFS('Tarefas'!$M$6:$M$132,'Tarefas'!$B$6:$B$132,A23)/SUMIFS('Tarefas'!$F$6:$F$132,'Tarefas'!$B$6:$B$132,A23)</f>
        <v>0</v>
      </c>
      <c r="D23" s="2" t="n"/>
      <c r="E23" s="2" t="inlineStr">
        <is>
          <t>As fórmulas consideram todas as linhas atuais, mesmo filtradas.</t>
        </is>
      </c>
      <c r="F23" s="2" t="n"/>
      <c r="G23" s="2" t="n"/>
    </row>
    <row r="24" ht="29" customHeight="1">
      <c r="A24" s="9" t="inlineStr">
        <is>
          <t>10 Verificação integrada</t>
        </is>
      </c>
      <c r="B24" s="9">
        <f>COUNTIFS('Tarefas'!$B$6:$B$132,A24)</f>
        <v>10</v>
      </c>
      <c r="C24" s="28">
        <f>SUMIFS('Tarefas'!$M$6:$M$132,'Tarefas'!$B$6:$B$132,A24)/SUMIFS('Tarefas'!$F$6:$F$132,'Tarefas'!$B$6:$B$132,A24)</f>
        <v>0</v>
      </c>
      <c r="D24" s="2" t="n"/>
      <c r="E24" s="2" t="inlineStr">
        <is>
          <t>Ao incluir tarefas, ampliar tabela e fórmulas de resumo.</t>
        </is>
      </c>
      <c r="F24" s="2" t="n"/>
      <c r="G24" s="2" t="n"/>
    </row>
    <row r="25" ht="29" customHeight="1">
      <c r="A25" s="2" t="inlineStr">
        <is>
          <t>11 Instalação, produção e sustentação</t>
        </is>
      </c>
      <c r="B25" s="2">
        <f>COUNTIFS('Tarefas'!$B$6:$B$132,A25)</f>
        <v>13</v>
      </c>
      <c r="C25" s="29">
        <f>SUMIFS('Tarefas'!$M$6:$M$132,'Tarefas'!$B$6:$B$132,A25)/SUMIFS('Tarefas'!$F$6:$F$132,'Tarefas'!$B$6:$B$132,A25)</f>
        <v>0</v>
      </c>
      <c r="D25" s="2" t="n"/>
      <c r="E25" s="2" t="inlineStr">
        <is>
          <t>Percentual do controle; não mede a conclusão real do produto.</t>
        </is>
      </c>
      <c r="F25" s="2" t="n"/>
      <c r="G25" s="2" t="n"/>
    </row>
    <row r="26" ht="29" customHeight="1">
      <c r="A26" s="2" t="n"/>
      <c r="B26" s="2" t="n"/>
      <c r="C26" s="2" t="n"/>
      <c r="D26" s="2" t="n"/>
      <c r="E26" s="2" t="inlineStr">
        <is>
          <t>Detalhamento passo a passo fica no documento pelo ID BK.</t>
        </is>
      </c>
      <c r="F26" s="2" t="n"/>
      <c r="G26" s="2" t="n"/>
    </row>
    <row r="27" ht="29" customHeight="1">
      <c r="A27" s="2" t="n"/>
      <c r="B27" s="2" t="n"/>
      <c r="C27" s="2" t="n"/>
      <c r="D27" s="2" t="n"/>
      <c r="E27" s="2" t="inlineStr">
        <is>
          <t>Não existe atualização automática de atividade no GitHub.</t>
        </is>
      </c>
      <c r="F27" s="2" t="n"/>
      <c r="G27" s="2" t="n"/>
    </row>
    <row r="28" ht="28" customHeight="1">
      <c r="A28" s="2" t="inlineStr">
        <is>
          <t>Responsáveis são papéis sugeridos; prazo e esforço aguardam a equipe.</t>
        </is>
      </c>
      <c r="B28" s="2" t="n"/>
      <c r="C28" s="2" t="n"/>
      <c r="D28" s="2" t="n"/>
      <c r="E28" s="2" t="n"/>
      <c r="F28" s="2" t="n"/>
      <c r="G28" s="2" t="n"/>
    </row>
    <row r="29" ht="28" customHeight="1">
      <c r="A29" s="2" t="n"/>
      <c r="B29" s="2" t="n"/>
      <c r="C29" s="2" t="n"/>
      <c r="D29" s="2" t="n"/>
      <c r="E29" s="2" t="n"/>
      <c r="F29" s="2" t="n"/>
      <c r="G29" s="2" t="n"/>
    </row>
    <row r="30" ht="28" customHeight="1">
      <c r="A30" s="4" t="inlineStr">
        <is>
          <t>Fonte: imagens e planilha MAJUCAU_CONSOLIDACAO_DEV_GATE_RC3_CEI_CONFIGURACOES_T16_T17.xlsx fornecidas pelo usuário.</t>
        </is>
      </c>
      <c r="B30" s="2" t="n"/>
      <c r="C30" s="2" t="n"/>
      <c r="D30" s="2" t="n"/>
      <c r="E30" s="2" t="n"/>
      <c r="F30" s="2" t="n"/>
      <c r="G30" s="2" t="n"/>
    </row>
    <row r="31" ht="28" customHeight="1">
      <c r="A31" s="4" t="inlineStr">
        <is>
          <t>Fechamento de 13/09/2026; decisões posteriores registradas no G0-DECISION-REGISTER.md até 10/10/2026.</t>
        </is>
      </c>
      <c r="B31" s="2" t="n"/>
      <c r="C31" s="2" t="n"/>
      <c r="D31" s="2" t="n"/>
      <c r="E31" s="2" t="n"/>
      <c r="F31" s="2" t="n"/>
      <c r="G31" s="2" t="n"/>
    </row>
    <row r="32" ht="28" customHeight="1">
      <c r="A32" s="2" t="n"/>
      <c r="B32" s="2" t="n"/>
      <c r="C32" s="2" t="n"/>
      <c r="D32" s="2" t="n"/>
      <c r="E32" s="2" t="n"/>
      <c r="F32" s="2" t="n"/>
      <c r="G32" s="2" t="n"/>
    </row>
    <row r="33" ht="28" customHeight="1">
      <c r="A33" s="2" t="inlineStr">
        <is>
          <t>BK-000 auditada em 10/10; 126 tarefas ainda aguardam revisão. Regra definida não equivale a implementação concluída.</t>
        </is>
      </c>
      <c r="B33" s="2" t="n"/>
      <c r="C33" s="2" t="n"/>
      <c r="D33" s="2" t="n"/>
      <c r="E33" s="2" t="n"/>
      <c r="F33" s="2" t="n"/>
      <c r="G33" s="2" t="n"/>
    </row>
    <row r="34" ht="28" customHeight="1">
      <c r="A34" s="2" t="inlineStr">
        <is>
          <t>D-1: análise/conciliação normal até ontem; agenda futura continua na projeção.</t>
        </is>
      </c>
      <c r="B34" s="2" t="n"/>
      <c r="C34" s="2" t="n"/>
      <c r="D34" s="2" t="n"/>
      <c r="E34" s="2" t="n"/>
      <c r="F34" s="2" t="n"/>
      <c r="G34" s="2" t="n"/>
    </row>
    <row r="35" ht="28" customHeight="1">
      <c r="A35" s="2" t="inlineStr">
        <is>
          <t>Nenhuma regra foi reaberta nesta auditoria. Paginação do Bling e outras pendências técnicas continuam em verificação.</t>
        </is>
      </c>
      <c r="B35" s="2" t="n"/>
      <c r="C35" s="2" t="n"/>
      <c r="D35" s="2" t="n"/>
      <c r="E35" s="2" t="n"/>
      <c r="F35" s="2" t="n"/>
      <c r="G35" s="2" t="n"/>
    </row>
    <row r="36" ht="28" customHeight="1">
      <c r="A36" s="2" t="n"/>
      <c r="B36" s="2" t="n"/>
      <c r="C36" s="2" t="n"/>
      <c r="D36" s="2" t="n"/>
      <c r="E36" s="2" t="n"/>
      <c r="F36" s="2" t="n"/>
      <c r="G36" s="2" t="n"/>
    </row>
    <row r="37" ht="28" customHeight="1">
      <c r="A37" s="2" t="n"/>
      <c r="B37" s="2" t="n"/>
      <c r="C37" s="2" t="n"/>
      <c r="D37" s="2" t="n"/>
      <c r="E37" s="2" t="n"/>
      <c r="F37" s="2" t="n"/>
      <c r="G37" s="2" t="n"/>
    </row>
    <row r="38" ht="28" customHeight="1">
      <c r="A38" s="2" t="n"/>
      <c r="B38" s="2" t="n"/>
      <c r="C38" s="2" t="n"/>
      <c r="D38" s="2" t="n"/>
      <c r="E38" s="2" t="n"/>
      <c r="F38" s="2" t="n"/>
      <c r="G38" s="2" t="n"/>
    </row>
    <row r="39" ht="28" customHeight="1">
      <c r="A39" s="2" t="n"/>
      <c r="B39" s="2" t="n"/>
      <c r="C39" s="2" t="n"/>
      <c r="D39" s="2" t="n"/>
      <c r="E39" s="2" t="n"/>
      <c r="F39" s="2" t="n"/>
      <c r="G39" s="2" t="n"/>
    </row>
    <row r="40" ht="28" customHeight="1">
      <c r="A40" s="2" t="n"/>
      <c r="B40" s="2" t="n"/>
      <c r="C40" s="2" t="n"/>
      <c r="D40" s="2" t="n"/>
      <c r="E40" s="2" t="n"/>
      <c r="F40" s="2" t="n"/>
      <c r="G40" s="2" t="n"/>
    </row>
    <row r="41" ht="28" customHeight="1">
      <c r="A41" s="2" t="n"/>
      <c r="B41" s="2" t="n"/>
      <c r="C41" s="2" t="n"/>
      <c r="D41" s="2" t="n"/>
      <c r="E41" s="2" t="n"/>
      <c r="F41" s="2" t="n"/>
      <c r="G41" s="2" t="n"/>
    </row>
    <row r="42" ht="28" customHeight="1">
      <c r="A42" s="2" t="n"/>
      <c r="B42" s="2" t="n"/>
      <c r="C42" s="2" t="n"/>
      <c r="D42" s="2" t="n"/>
      <c r="E42" s="2" t="n"/>
      <c r="F42" s="2" t="n"/>
      <c r="G42" s="2" t="n"/>
    </row>
    <row r="43" ht="28" customHeight="1">
      <c r="A43" s="2" t="n"/>
      <c r="B43" s="2" t="n"/>
      <c r="C43" s="2" t="n"/>
      <c r="D43" s="2" t="n"/>
      <c r="E43" s="2" t="n"/>
      <c r="F43" s="2" t="n"/>
      <c r="G43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87E87"/>
    <outlinePr summaryBelow="1" summaryRight="1"/>
    <pageSetUpPr/>
  </sheetPr>
  <dimension ref="A1:M132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9.75" customWidth="1" min="1" max="1"/>
    <col width="26.8799991607666" customWidth="1" min="2" max="2"/>
    <col width="48.13000106811523" customWidth="1" min="3" max="3"/>
    <col width="15" customWidth="1" min="4" max="4"/>
    <col width="17.75" customWidth="1" min="5" max="5"/>
    <col width="7.5" customWidth="1" min="6" max="6"/>
    <col width="10.63000011444092" customWidth="1" min="7" max="7"/>
    <col width="32.5" customWidth="1" min="8" max="8"/>
    <col width="28.75" customWidth="1" min="9" max="9"/>
    <col width="28.75" customWidth="1" min="10" max="10"/>
    <col width="28.75" customWidth="1" min="11" max="11"/>
    <col width="52.5" customWidth="1" min="12" max="12"/>
    <col width="16.25" customWidth="1" min="13" max="13"/>
  </cols>
  <sheetData>
    <row r="1" ht="28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8" customHeight="1">
      <c r="A2" s="3" t="inlineStr">
        <is>
          <t>Majucau — tarefas do backlog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8" customHeight="1">
      <c r="A3" s="4" t="inlineStr">
        <is>
          <t>Detalhes de objetivo, execução, aceite e impacto: documento MAJUCAU_BACKLOG_DETALHADO_v2.md, pelo ID.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2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34" customHeight="1">
      <c r="A5" s="8" t="inlineStr">
        <is>
          <t>ID</t>
        </is>
      </c>
      <c r="B5" s="8" t="inlineStr">
        <is>
          <t>Fase</t>
        </is>
      </c>
      <c r="C5" s="8" t="inlineStr">
        <is>
          <t>Tarefa</t>
        </is>
      </c>
      <c r="D5" s="8" t="inlineStr">
        <is>
          <t>Natureza</t>
        </is>
      </c>
      <c r="E5" s="8" t="inlineStr">
        <is>
          <t>Situação</t>
        </is>
      </c>
      <c r="F5" s="8" t="inlineStr">
        <is>
          <t>Peso</t>
        </is>
      </c>
      <c r="G5" s="8" t="inlineStr">
        <is>
          <t>Evolução</t>
        </is>
      </c>
      <c r="H5" s="8" t="inlineStr">
        <is>
          <t>Evidência de aceite</t>
        </is>
      </c>
      <c r="I5" s="8" t="inlineStr">
        <is>
          <t>Responsável sugerido</t>
        </is>
      </c>
      <c r="J5" s="8" t="inlineStr">
        <is>
          <t>Dependências</t>
        </is>
      </c>
      <c r="K5" s="8" t="inlineStr">
        <is>
          <t>Decisões a acompanhar</t>
        </is>
      </c>
      <c r="L5" s="8" t="inlineStr">
        <is>
          <t>Referências</t>
        </is>
      </c>
      <c r="M5" s="8" t="inlineStr">
        <is>
          <t>Peso concluído</t>
        </is>
      </c>
    </row>
    <row r="6" ht="72" customHeight="1">
      <c r="A6" s="10" t="inlineStr">
        <is>
          <t>BK-000</t>
        </is>
      </c>
      <c r="B6" s="10" t="inlineStr">
        <is>
          <t>00 Descoberta e decisões</t>
        </is>
      </c>
      <c r="C6" s="10" t="inlineStr">
        <is>
          <t>Confirmar a base de escopo e as decisões da Majucau</t>
        </is>
      </c>
      <c r="D6" s="10" t="inlineStr">
        <is>
          <t>Planejamento</t>
        </is>
      </c>
      <c r="E6" s="12" t="inlineStr">
        <is>
          <t>Concluída</t>
        </is>
      </c>
      <c r="F6" s="30" t="n">
        <v>1</v>
      </c>
      <c r="G6" s="31">
        <f>IF(AND(E6="Concluída",H6&lt;&gt;""),1,0)</f>
        <v>1</v>
      </c>
      <c r="H6" s="12" t="inlineStr">
        <is>
          <t>BK-000 auditado em 10/10/2026. Arquitetura/destino: ADR-001/002. Telas e regras aprovadas: G0. Pendências mantidas; sem alterações.</t>
        </is>
      </c>
      <c r="I6" s="10" t="inlineStr">
        <is>
          <t>Majucau + Arquitetura</t>
        </is>
      </c>
      <c r="J6" s="10" t="inlineStr"/>
      <c r="K6" s="10" t="inlineStr">
        <is>
          <t>Todas as decisões em aberto,F-13</t>
        </is>
      </c>
      <c r="L6" s="10" t="inlineStr">
        <is>
          <t>Pedido do usuário; 00_Resumo; C_Conflitos; D_Lacunas; Consolidação 13/09/2026, consolidação integral; Fechamento vigente 13/09/2026, integral</t>
        </is>
      </c>
      <c r="M6" s="10">
        <f>F6*G6</f>
        <v>1</v>
      </c>
    </row>
    <row r="7" ht="72" customHeight="1">
      <c r="A7" s="11" t="inlineStr">
        <is>
          <t>BK-001</t>
        </is>
      </c>
      <c r="B7" s="11" t="inlineStr">
        <is>
          <t>00 Descoberta e decisões</t>
        </is>
      </c>
      <c r="C7" s="11" t="inlineStr">
        <is>
          <t>Inventariar os materiais e suas versões</t>
        </is>
      </c>
      <c r="D7" s="11" t="inlineStr">
        <is>
          <t>Planejamento</t>
        </is>
      </c>
      <c r="E7" s="12" t="inlineStr">
        <is>
          <t>Concluída</t>
        </is>
      </c>
      <c r="F7" s="30" t="n">
        <v>1</v>
      </c>
      <c r="G7" s="32">
        <f>IF(AND(E7="Concluída",H7&lt;&gt;""),1,0)</f>
        <v>1</v>
      </c>
      <c r="H7" s="12" t="inlineStr">
        <is>
          <t>MAJUCAU_ANALISE_E_DECISOES_v0.md — inventário e análise; inspeção dos materiais e GitHub nesta sessão. Evidência original preservada na versão 0; esta revisão não altera a conclusão desse levantamento.</t>
        </is>
      </c>
      <c r="I7" s="11" t="inlineStr">
        <is>
          <t>Produto + UX</t>
        </is>
      </c>
      <c r="J7" s="11" t="inlineStr"/>
      <c r="K7" s="11" t="inlineStr"/>
      <c r="L7" s="11" t="inlineStr">
        <is>
          <t>Pacote fornecido; manifesto de arquivos; Consolidação 13/09/2026, consolidação integral; Fechamento vigente 13/09/2026, integral</t>
        </is>
      </c>
      <c r="M7" s="11">
        <f>F7*G7</f>
        <v>1</v>
      </c>
    </row>
    <row r="8" ht="72" customHeight="1">
      <c r="A8" s="10" t="inlineStr">
        <is>
          <t>BK-002</t>
        </is>
      </c>
      <c r="B8" s="10" t="inlineStr">
        <is>
          <t>00 Descoberta e decisões</t>
        </is>
      </c>
      <c r="C8" s="10" t="inlineStr">
        <is>
          <t>Verificar o ponto de partida no GitHub</t>
        </is>
      </c>
      <c r="D8" s="10" t="inlineStr">
        <is>
          <t>Planejamento</t>
        </is>
      </c>
      <c r="E8" s="12" t="inlineStr">
        <is>
          <t>Concluída</t>
        </is>
      </c>
      <c r="F8" s="30" t="n">
        <v>1</v>
      </c>
      <c r="G8" s="31">
        <f>IF(AND(E8="Concluída",H8&lt;&gt;""),1,0)</f>
        <v>1</v>
      </c>
      <c r="H8" s="12" t="inlineStr">
        <is>
          <t>MAJUCAU_ANALISE_E_DECISOES_v0.md — inventário e análise; inspeção dos materiais e GitHub nesta sessão. Evidência original preservada na versão 0; esta revisão não altera a conclusão desse levantamento.</t>
        </is>
      </c>
      <c r="I8" s="10" t="inlineStr">
        <is>
          <t>Arquitetura</t>
        </is>
      </c>
      <c r="J8" s="10" t="inlineStr"/>
      <c r="K8" s="10" t="inlineStr"/>
      <c r="L8" s="10" t="inlineStr">
        <is>
          <t>GitHub majucau /contents e /commits</t>
        </is>
      </c>
      <c r="M8" s="10">
        <f>F8*G8</f>
        <v>1</v>
      </c>
    </row>
    <row r="9" ht="72" customHeight="1">
      <c r="A9" s="11" t="inlineStr">
        <is>
          <t>BK-003</t>
        </is>
      </c>
      <c r="B9" s="11" t="inlineStr">
        <is>
          <t>00 Descoberta e decisões</t>
        </is>
      </c>
      <c r="C9" s="11" t="inlineStr">
        <is>
          <t>Auditar cada tela e seus cálculos ilustrativos</t>
        </is>
      </c>
      <c r="D9" s="11" t="inlineStr">
        <is>
          <t>Planejamento</t>
        </is>
      </c>
      <c r="E9" s="12" t="inlineStr">
        <is>
          <t>Concluída</t>
        </is>
      </c>
      <c r="F9" s="30" t="n">
        <v>1</v>
      </c>
      <c r="G9" s="32">
        <f>IF(AND(E9="Concluída",H9&lt;&gt;""),1,0)</f>
        <v>1</v>
      </c>
      <c r="H9" s="12" t="inlineStr">
        <is>
          <t>MAJUCAU_ANALISE_E_DECISOES_v0.md — inventário e análise; inspeção dos materiais e GitHub nesta sessão. Evidência original preservada na versão 0; esta revisão não altera a conclusão desse levantamento.</t>
        </is>
      </c>
      <c r="I9" s="11" t="inlineStr">
        <is>
          <t>UX + Produto + QA</t>
        </is>
      </c>
      <c r="J9" s="11" t="inlineStr">
        <is>
          <t>BK-001</t>
        </is>
      </c>
      <c r="K9" s="11" t="inlineStr"/>
      <c r="L9" s="11" t="inlineStr">
        <is>
          <t>Todas as imagens; CEIs T11–T17</t>
        </is>
      </c>
      <c r="M9" s="11">
        <f>F9*G9</f>
        <v>1</v>
      </c>
    </row>
    <row r="10" ht="72" customHeight="1">
      <c r="A10" s="10" t="inlineStr">
        <is>
          <t>BK-004</t>
        </is>
      </c>
      <c r="B10" s="10" t="inlineStr">
        <is>
          <t>00 Descoberta e decisões</t>
        </is>
      </c>
      <c r="C10" s="10" t="inlineStr">
        <is>
          <t>Localizar e versionar os mockups e contratos aprovados</t>
        </is>
      </c>
      <c r="D10" s="10" t="inlineStr">
        <is>
          <t>Planejamento</t>
        </is>
      </c>
      <c r="E10" s="12" t="inlineStr">
        <is>
          <t>Não iniciada</t>
        </is>
      </c>
      <c r="F10" s="30" t="n">
        <v>1</v>
      </c>
      <c r="G10" s="31">
        <f>IF(AND(E10="Concluída",H10&lt;&gt;""),1,0)</f>
        <v>0</v>
      </c>
      <c r="H10" s="12" t="inlineStr"/>
      <c r="I10" s="10" t="inlineStr">
        <is>
          <t>Majucau + UX</t>
        </is>
      </c>
      <c r="J10" s="10" t="inlineStr">
        <is>
          <t>BK-001</t>
        </is>
      </c>
      <c r="K10" s="10" t="inlineStr">
        <is>
          <t>Q-01,Q-02,F-13</t>
        </is>
      </c>
      <c r="L10" s="10" t="inlineStr">
        <is>
          <t>A_Matriz_Mestra!A41:S41; 00_Resumo!A46:D46; menus das imagens; Fechamento vigente 13/09/2026, §5</t>
        </is>
      </c>
      <c r="M10" s="10">
        <f>F10*G10</f>
        <v>0</v>
      </c>
    </row>
    <row r="11" ht="72" customHeight="1">
      <c r="A11" s="11" t="inlineStr">
        <is>
          <t>BK-005</t>
        </is>
      </c>
      <c r="B11" s="11" t="inlineStr">
        <is>
          <t>00 Descoberta e decisões</t>
        </is>
      </c>
      <c r="C11" s="11" t="inlineStr">
        <is>
          <t>Detalhar os casos de pagamento divergente após decidir C-01</t>
        </is>
      </c>
      <c r="D11" s="11" t="inlineStr">
        <is>
          <t>Planejamento</t>
        </is>
      </c>
      <c r="E11" s="12" t="inlineStr">
        <is>
          <t>Não iniciada</t>
        </is>
      </c>
      <c r="F11" s="30" t="n">
        <v>1</v>
      </c>
      <c r="G11" s="32">
        <f>IF(AND(E11="Concluída",H11&lt;&gt;""),1,0)</f>
        <v>0</v>
      </c>
      <c r="H11" s="12" t="inlineStr"/>
      <c r="I11" s="11" t="inlineStr">
        <is>
          <t>Majucau / Financeiro</t>
        </is>
      </c>
      <c r="J11" s="11" t="inlineStr"/>
      <c r="K11" s="11" t="inlineStr">
        <is>
          <t>C-01</t>
        </is>
      </c>
      <c r="L11" s="11" t="inlineStr">
        <is>
          <t>C_Conflitos!A3:L3; T04; Fechamento vigente 13/09/2026, §8.6–8.8; C-01 mantida</t>
        </is>
      </c>
      <c r="M11" s="11">
        <f>F11*G11</f>
        <v>0</v>
      </c>
    </row>
    <row r="12" ht="72" customHeight="1">
      <c r="A12" s="10" t="inlineStr">
        <is>
          <t>BK-006</t>
        </is>
      </c>
      <c r="B12" s="10" t="inlineStr">
        <is>
          <t>00 Descoberta e decisões</t>
        </is>
      </c>
      <c r="C12" s="10" t="inlineStr">
        <is>
          <t>Especificar tecnicamente a regra fechada da calculadora</t>
        </is>
      </c>
      <c r="D12" s="10" t="inlineStr">
        <is>
          <t>Planejamento</t>
        </is>
      </c>
      <c r="E12" s="12" t="inlineStr">
        <is>
          <t>Não iniciada</t>
        </is>
      </c>
      <c r="F12" s="30" t="n">
        <v>1</v>
      </c>
      <c r="G12" s="31">
        <f>IF(AND(E12="Concluída",H12&lt;&gt;""),1,0)</f>
        <v>0</v>
      </c>
      <c r="H12" s="12" t="inlineStr"/>
      <c r="I12" s="10" t="inlineStr">
        <is>
          <t>Majucau / Financeiro</t>
        </is>
      </c>
      <c r="J12" s="10" t="inlineStr"/>
      <c r="K12" s="10" t="inlineStr">
        <is>
          <t>L-07,Q-10,Q-21,R-06,R-08,F-01</t>
        </is>
      </c>
      <c r="L12" s="10" t="inlineStr">
        <is>
          <t>C_Conflitos!A4:L5; A_Matriz_Mestra!A32:S36; T02/T08; planilha Calculadora_Aplicacao_Lucro_Liquido_Profissional (1).xlsm enviada em 10/10/2026; fechamento de 13/09/2026, §§1–2</t>
        </is>
      </c>
      <c r="M12" s="10">
        <f>F12*G12</f>
        <v>0</v>
      </c>
    </row>
    <row r="13" ht="72" customHeight="1">
      <c r="A13" s="11" t="inlineStr">
        <is>
          <t>BK-007</t>
        </is>
      </c>
      <c r="B13" s="11" t="inlineStr">
        <is>
          <t>00 Descoberta e decisões</t>
        </is>
      </c>
      <c r="C13" s="11" t="inlineStr">
        <is>
          <t>Especificar as regras da DRE própria do Majucau</t>
        </is>
      </c>
      <c r="D13" s="11" t="inlineStr">
        <is>
          <t>Planejamento</t>
        </is>
      </c>
      <c r="E13" s="12" t="inlineStr">
        <is>
          <t>Em andamento</t>
        </is>
      </c>
      <c r="F13" s="30" t="n">
        <v>1</v>
      </c>
      <c r="G13" s="32">
        <f>IF(AND(E13="Concluída",H13&lt;&gt;""),1,0)</f>
        <v>0</v>
      </c>
      <c r="H13" s="12" t="inlineStr"/>
      <c r="I13" s="11" t="inlineStr">
        <is>
          <t>Arquitetura + Integrações</t>
        </is>
      </c>
      <c r="J13" s="11" t="inlineStr"/>
      <c r="K13" s="11" t="inlineStr">
        <is>
          <t>L-03,L-04,L-05,L-08,L-09,L-13,L-14,Q-09,HT-04,HT-06,F-02,F-03</t>
        </is>
      </c>
      <c r="L13" s="11" t="inlineStr">
        <is>
          <t>D_Lacunas; M-017..M-029; Consolidação 13/09/2026, pendências 4–6; Fechamento vigente 13/09/2026, §2</t>
        </is>
      </c>
      <c r="M13" s="11">
        <f>F13*G13</f>
        <v>0</v>
      </c>
    </row>
    <row r="14" ht="72" customHeight="1">
      <c r="A14" s="10" t="inlineStr">
        <is>
          <t>BK-008</t>
        </is>
      </c>
      <c r="B14" s="10" t="inlineStr">
        <is>
          <t>00 Descoberta e decisões</t>
        </is>
      </c>
      <c r="C14" s="10" t="inlineStr">
        <is>
          <t>Especificar necessidade líquida e acompanhamento da produção</t>
        </is>
      </c>
      <c r="D14" s="10" t="inlineStr">
        <is>
          <t>Planejamento</t>
        </is>
      </c>
      <c r="E14" s="12" t="inlineStr">
        <is>
          <t>Não iniciada</t>
        </is>
      </c>
      <c r="F14" s="30" t="n">
        <v>1</v>
      </c>
      <c r="G14" s="31">
        <f>IF(AND(E14="Concluída",H14&lt;&gt;""),1,0)</f>
        <v>0</v>
      </c>
      <c r="H14" s="12" t="inlineStr"/>
      <c r="I14" s="10" t="inlineStr">
        <is>
          <t>Majucau / Operação</t>
        </is>
      </c>
      <c r="J14" s="10" t="inlineStr"/>
      <c r="K14" s="10" t="inlineStr">
        <is>
          <t>L-17,L-18,Q-07,Q-08,F-04,F-05,F-09</t>
        </is>
      </c>
      <c r="L14" s="10" t="inlineStr">
        <is>
          <t>T09/T10; Q_CEI_Tela_11; Consolidação 13/09/2026, §3; Fechamento vigente 13/09/2026, §§3–4</t>
        </is>
      </c>
      <c r="M14" s="10">
        <f>F14*G14</f>
        <v>0</v>
      </c>
    </row>
    <row r="15" ht="72" customHeight="1">
      <c r="A15" s="11" t="inlineStr">
        <is>
          <t>BK-009</t>
        </is>
      </c>
      <c r="B15" s="11" t="inlineStr">
        <is>
          <t>00 Descoberta e decisões</t>
        </is>
      </c>
      <c r="C15" s="11" t="inlineStr">
        <is>
          <t>Especificar forecast, metas e planejamento de reposição</t>
        </is>
      </c>
      <c r="D15" s="11" t="inlineStr">
        <is>
          <t>Planejamento</t>
        </is>
      </c>
      <c r="E15" s="12" t="inlineStr">
        <is>
          <t>Não iniciada</t>
        </is>
      </c>
      <c r="F15" s="30" t="n">
        <v>1</v>
      </c>
      <c r="G15" s="32">
        <f>IF(AND(E15="Concluída",H15&lt;&gt;""),1,0)</f>
        <v>0</v>
      </c>
      <c r="H15" s="12" t="inlineStr"/>
      <c r="I15" s="11" t="inlineStr">
        <is>
          <t>Arquitetura + Dados</t>
        </is>
      </c>
      <c r="J15" s="11" t="inlineStr"/>
      <c r="K15" s="11" t="inlineStr">
        <is>
          <t>L-20,L-21,Q-11,Q-12,R-13,HT-09,F-10,F-11</t>
        </is>
      </c>
      <c r="L15" s="11" t="inlineStr">
        <is>
          <t>R_CEI_Tela_12; T12; M-045..M-049; Consolidação 13/09/2026, pendência 9; Fechamento vigente 13/09/2026, §4</t>
        </is>
      </c>
      <c r="M15" s="11">
        <f>F15*G15</f>
        <v>0</v>
      </c>
    </row>
    <row r="16" ht="72" customHeight="1">
      <c r="A16" s="10" t="inlineStr">
        <is>
          <t>BK-010</t>
        </is>
      </c>
      <c r="B16" s="10" t="inlineStr">
        <is>
          <t>00 Descoberta e decisões</t>
        </is>
      </c>
      <c r="C16" s="10" t="inlineStr">
        <is>
          <t>Homologar contratos do Bling e das três estruturas do Google Drive</t>
        </is>
      </c>
      <c r="D16" s="10" t="inlineStr">
        <is>
          <t>Planejamento</t>
        </is>
      </c>
      <c r="E16" s="12" t="inlineStr">
        <is>
          <t>Não iniciada</t>
        </is>
      </c>
      <c r="F16" s="30" t="n">
        <v>1</v>
      </c>
      <c r="G16" s="31">
        <f>IF(AND(E16="Concluída",H16&lt;&gt;""),1,0)</f>
        <v>0</v>
      </c>
      <c r="H16" s="12" t="inlineStr"/>
      <c r="I16" s="10" t="inlineStr">
        <is>
          <t>Engenharia de Integrações + responsável pelos arquivos</t>
        </is>
      </c>
      <c r="J16" s="10" t="inlineStr"/>
      <c r="K16" s="10" t="inlineStr">
        <is>
          <t>L-11,L-12,L-24,Q-06,R-01,R-02,R-10,HT-08,F-18,F-19</t>
        </is>
      </c>
      <c r="L16" s="10" t="inlineStr">
        <is>
          <t>H_Contrato_Dados; U_CEI_Tela_15; Consolidação 13/09/2026, §§1–2,10–12; Fechamento vigente 13/09/2026, §8</t>
        </is>
      </c>
      <c r="M16" s="10">
        <f>F16*G16</f>
        <v>0</v>
      </c>
    </row>
    <row r="17" ht="72" customHeight="1">
      <c r="A17" s="11" t="inlineStr">
        <is>
          <t>BK-011</t>
        </is>
      </c>
      <c r="B17" s="11" t="inlineStr">
        <is>
          <t>00 Descoberta e decisões</t>
        </is>
      </c>
      <c r="C17" s="11" t="inlineStr">
        <is>
          <t>Definir fontes e critérios dos sinais do cacau</t>
        </is>
      </c>
      <c r="D17" s="11" t="inlineStr">
        <is>
          <t>Planejamento</t>
        </is>
      </c>
      <c r="E17" s="12" t="inlineStr">
        <is>
          <t>Não iniciada</t>
        </is>
      </c>
      <c r="F17" s="30" t="n">
        <v>1</v>
      </c>
      <c r="G17" s="32">
        <f>IF(AND(E17="Concluída",H17&lt;&gt;""),1,0)</f>
        <v>0</v>
      </c>
      <c r="H17" s="12" t="inlineStr"/>
      <c r="I17" s="11" t="inlineStr">
        <is>
          <t>Engenharia de Dados</t>
        </is>
      </c>
      <c r="J17" s="11" t="inlineStr"/>
      <c r="K17" s="11" t="inlineStr">
        <is>
          <t>L-19,R-14,HT-10,F-07</t>
        </is>
      </c>
      <c r="L17" s="11" t="inlineStr">
        <is>
          <t>Q_CEI_Tela_11; H_Contrato_Dados!A21:H22; Consolidação 13/09/2026, pendência 10; Fechamento vigente 13/09/2026, §3.4</t>
        </is>
      </c>
      <c r="M17" s="11">
        <f>F17*G17</f>
        <v>0</v>
      </c>
    </row>
    <row r="18" ht="72" customHeight="1">
      <c r="A18" s="10" t="inlineStr">
        <is>
          <t>BK-012</t>
        </is>
      </c>
      <c r="B18" s="10" t="inlineStr">
        <is>
          <t>00 Descoberta e decisões</t>
        </is>
      </c>
      <c r="C18" s="10" t="inlineStr">
        <is>
          <t>Especificar ações e exportações já previstas</t>
        </is>
      </c>
      <c r="D18" s="10" t="inlineStr">
        <is>
          <t>Planejamento</t>
        </is>
      </c>
      <c r="E18" s="12" t="inlineStr">
        <is>
          <t>Não iniciada</t>
        </is>
      </c>
      <c r="F18" s="30" t="n">
        <v>1</v>
      </c>
      <c r="G18" s="31">
        <f>IF(AND(E18="Concluída",H18&lt;&gt;""),1,0)</f>
        <v>0</v>
      </c>
      <c r="H18" s="12" t="inlineStr"/>
      <c r="I18" s="10" t="inlineStr">
        <is>
          <t>Majucau + UX</t>
        </is>
      </c>
      <c r="J18" s="10" t="inlineStr"/>
      <c r="K18" s="10" t="inlineStr">
        <is>
          <t>L-22,L-23,Q-13,F-14</t>
        </is>
      </c>
      <c r="L18" s="10" t="inlineStr">
        <is>
          <t>S/T/U CEIs; T02–T07; T13–T15; Fechamento vigente 13/09/2026, §§5–6</t>
        </is>
      </c>
      <c r="M18" s="10">
        <f>F18*G18</f>
        <v>0</v>
      </c>
    </row>
    <row r="19" ht="72" customHeight="1">
      <c r="A19" s="11" t="inlineStr">
        <is>
          <t>BK-013</t>
        </is>
      </c>
      <c r="B19" s="11" t="inlineStr">
        <is>
          <t>00 Descoberta e decisões</t>
        </is>
      </c>
      <c r="C19" s="11" t="inlineStr">
        <is>
          <t>Especificar perfis, capacidades, vigência e auditoria</t>
        </is>
      </c>
      <c r="D19" s="11" t="inlineStr">
        <is>
          <t>Planejamento</t>
        </is>
      </c>
      <c r="E19" s="12" t="inlineStr">
        <is>
          <t>Não iniciada</t>
        </is>
      </c>
      <c r="F19" s="30" t="n">
        <v>1</v>
      </c>
      <c r="G19" s="32">
        <f>IF(AND(E19="Concluída",H19&lt;&gt;""),1,0)</f>
        <v>0</v>
      </c>
      <c r="H19" s="12" t="inlineStr"/>
      <c r="I19" s="11" t="inlineStr">
        <is>
          <t>Arquitetura + Segurança</t>
        </is>
      </c>
      <c r="J19" s="11" t="inlineStr"/>
      <c r="K19" s="11" t="inlineStr">
        <is>
          <t>L-25,L-26,Q-14,F-15</t>
        </is>
      </c>
      <c r="L19" s="11" t="inlineStr">
        <is>
          <t>W/Y CEIs; H_Contrato_Dados!A34:H39; Fechamento vigente 13/09/2026, §6</t>
        </is>
      </c>
      <c r="M19" s="11">
        <f>F19*G19</f>
        <v>0</v>
      </c>
    </row>
    <row r="20" ht="72" customHeight="1">
      <c r="A20" s="10" t="inlineStr">
        <is>
          <t>BK-014</t>
        </is>
      </c>
      <c r="B20" s="10" t="inlineStr">
        <is>
          <t>00 Descoberta e decisões</t>
        </is>
      </c>
      <c r="C20" s="10" t="inlineStr">
        <is>
          <t>Inventariar o Windows e propor a operação local</t>
        </is>
      </c>
      <c r="D20" s="10" t="inlineStr">
        <is>
          <t>Planejamento</t>
        </is>
      </c>
      <c r="E20" s="12" t="inlineStr">
        <is>
          <t>Não iniciada</t>
        </is>
      </c>
      <c r="F20" s="30" t="n">
        <v>1</v>
      </c>
      <c r="G20" s="31">
        <f>IF(AND(E20="Concluída",H20&lt;&gt;""),1,0)</f>
        <v>0</v>
      </c>
      <c r="H20" s="12" t="inlineStr"/>
      <c r="I20" s="10" t="inlineStr">
        <is>
          <t>Infraestrutura + Segurança</t>
        </is>
      </c>
      <c r="J20" s="10" t="inlineStr"/>
      <c r="K20" s="10" t="inlineStr">
        <is>
          <t>Q-03,Q-04,Q-05,Q-15,Q-16,F-17</t>
        </is>
      </c>
      <c r="L20" s="10" t="inlineStr">
        <is>
          <t>Pedido: hospedagem local; Fechamento vigente 13/09/2026, §7</t>
        </is>
      </c>
      <c r="M20" s="10">
        <f>F20*G20</f>
        <v>0</v>
      </c>
    </row>
    <row r="21" ht="72" customHeight="1">
      <c r="A21" s="11" t="inlineStr">
        <is>
          <t>BK-015</t>
        </is>
      </c>
      <c r="B21" s="11" t="inlineStr">
        <is>
          <t>00 Descoberta e decisões</t>
        </is>
      </c>
      <c r="C21" s="11" t="inlineStr">
        <is>
          <t>Organizar responsáveis, estimativas e marcos de entrega</t>
        </is>
      </c>
      <c r="D21" s="11" t="inlineStr">
        <is>
          <t>Planejamento</t>
        </is>
      </c>
      <c r="E21" s="12" t="inlineStr">
        <is>
          <t>Não iniciada</t>
        </is>
      </c>
      <c r="F21" s="30" t="n">
        <v>1</v>
      </c>
      <c r="G21" s="32">
        <f>IF(AND(E21="Concluída",H21&lt;&gt;""),1,0)</f>
        <v>0</v>
      </c>
      <c r="H21" s="12" t="inlineStr"/>
      <c r="I21" s="11" t="inlineStr">
        <is>
          <t>Majucau + Liderança técnica</t>
        </is>
      </c>
      <c r="J21" s="11" t="inlineStr">
        <is>
          <t>BK-000, BK-004, BK-014</t>
        </is>
      </c>
      <c r="K21" s="11" t="inlineStr">
        <is>
          <t>Q-17</t>
        </is>
      </c>
      <c r="L21" s="11" t="inlineStr">
        <is>
          <t>Pedido do usuário; G_Ordem; Fechamento vigente 13/09/2026, §7</t>
        </is>
      </c>
      <c r="M21" s="11">
        <f>F21*G21</f>
        <v>0</v>
      </c>
    </row>
    <row r="22" ht="72" customHeight="1">
      <c r="A22" s="10" t="inlineStr">
        <is>
          <t>BK-016</t>
        </is>
      </c>
      <c r="B22" s="10" t="inlineStr">
        <is>
          <t>01 Arquitetura e UX</t>
        </is>
      </c>
      <c r="C22" s="10" t="inlineStr">
        <is>
          <t>Modelar os domínios e o vocabulário do negócio</t>
        </is>
      </c>
      <c r="D22" s="10" t="inlineStr">
        <is>
          <t>Desenvolvimento</t>
        </is>
      </c>
      <c r="E22" s="12" t="inlineStr">
        <is>
          <t>Não iniciada</t>
        </is>
      </c>
      <c r="F22" s="30" t="n">
        <v>1</v>
      </c>
      <c r="G22" s="31">
        <f>IF(AND(E22="Concluída",H22&lt;&gt;""),1,0)</f>
        <v>0</v>
      </c>
      <c r="H22" s="12" t="inlineStr"/>
      <c r="I22" s="10" t="inlineStr">
        <is>
          <t>Arquitetura</t>
        </is>
      </c>
      <c r="J22" s="10" t="inlineStr">
        <is>
          <t>BK-000, BK-005, BK-006, BK-007, BK-008, BK-009</t>
        </is>
      </c>
      <c r="K22" s="10" t="inlineStr"/>
      <c r="L22" s="10" t="inlineStr">
        <is>
          <t>A_Matriz_Mestra; B_Intersecoes; H_Contrato_Dados; Consolidação 13/09/2026, §§6,10–12; Fechamento vigente 13/09/2026, §§1–4</t>
        </is>
      </c>
      <c r="M22" s="10">
        <f>F22*G22</f>
        <v>0</v>
      </c>
    </row>
    <row r="23" ht="72" customHeight="1">
      <c r="A23" s="11" t="inlineStr">
        <is>
          <t>BK-017</t>
        </is>
      </c>
      <c r="B23" s="11" t="inlineStr">
        <is>
          <t>01 Arquitetura e UX</t>
        </is>
      </c>
      <c r="C23" s="11" t="inlineStr">
        <is>
          <t>Definir a estrutura hexagonal do monólito Go</t>
        </is>
      </c>
      <c r="D23" s="11" t="inlineStr">
        <is>
          <t>Desenvolvimento</t>
        </is>
      </c>
      <c r="E23" s="12" t="inlineStr">
        <is>
          <t>Não iniciada</t>
        </is>
      </c>
      <c r="F23" s="30" t="n">
        <v>1</v>
      </c>
      <c r="G23" s="32">
        <f>IF(AND(E23="Concluída",H23&lt;&gt;""),1,0)</f>
        <v>0</v>
      </c>
      <c r="H23" s="12" t="inlineStr"/>
      <c r="I23" s="11" t="inlineStr">
        <is>
          <t>Arquitetura</t>
        </is>
      </c>
      <c r="J23" s="11" t="inlineStr">
        <is>
          <t>BK-016</t>
        </is>
      </c>
      <c r="K23" s="11" t="inlineStr"/>
      <c r="L23" s="11" t="inlineStr">
        <is>
          <t>Stack definida pelo usuário</t>
        </is>
      </c>
      <c r="M23" s="11">
        <f>F23*G23</f>
        <v>0</v>
      </c>
    </row>
    <row r="24" ht="72" customHeight="1">
      <c r="A24" s="10" t="inlineStr">
        <is>
          <t>BK-018</t>
        </is>
      </c>
      <c r="B24" s="10" t="inlineStr">
        <is>
          <t>01 Arquitetura e UX</t>
        </is>
      </c>
      <c r="C24" s="10" t="inlineStr">
        <is>
          <t>Definir persistência, migrações e precisão dos dados</t>
        </is>
      </c>
      <c r="D24" s="10" t="inlineStr">
        <is>
          <t>Desenvolvimento</t>
        </is>
      </c>
      <c r="E24" s="12" t="inlineStr">
        <is>
          <t>Não iniciada</t>
        </is>
      </c>
      <c r="F24" s="30" t="n">
        <v>1</v>
      </c>
      <c r="G24" s="31">
        <f>IF(AND(E24="Concluída",H24&lt;&gt;""),1,0)</f>
        <v>0</v>
      </c>
      <c r="H24" s="12" t="inlineStr"/>
      <c r="I24" s="10" t="inlineStr">
        <is>
          <t>Arquitetura + Dados</t>
        </is>
      </c>
      <c r="J24" s="10" t="inlineStr">
        <is>
          <t>BK-016, BK-010</t>
        </is>
      </c>
      <c r="K24" s="10" t="inlineStr"/>
      <c r="L24" s="10" t="inlineStr">
        <is>
          <t>H_Contrato_Dados; proposta técnica</t>
        </is>
      </c>
      <c r="M24" s="10">
        <f>F24*G24</f>
        <v>0</v>
      </c>
    </row>
    <row r="25" ht="72" customHeight="1">
      <c r="A25" s="11" t="inlineStr">
        <is>
          <t>BK-019</t>
        </is>
      </c>
      <c r="B25" s="11" t="inlineStr">
        <is>
          <t>01 Arquitetura e UX</t>
        </is>
      </c>
      <c r="C25" s="11" t="inlineStr">
        <is>
          <t>Descrever contratos de API e estados de leitura</t>
        </is>
      </c>
      <c r="D25" s="11" t="inlineStr">
        <is>
          <t>Desenvolvimento</t>
        </is>
      </c>
      <c r="E25" s="12" t="inlineStr">
        <is>
          <t>Não iniciada</t>
        </is>
      </c>
      <c r="F25" s="30" t="n">
        <v>1</v>
      </c>
      <c r="G25" s="32">
        <f>IF(AND(E25="Concluída",H25&lt;&gt;""),1,0)</f>
        <v>0</v>
      </c>
      <c r="H25" s="12" t="inlineStr"/>
      <c r="I25" s="11" t="inlineStr">
        <is>
          <t>Full Stack</t>
        </is>
      </c>
      <c r="J25" s="11" t="inlineStr">
        <is>
          <t>BK-017, BK-012, BK-013</t>
        </is>
      </c>
      <c r="K25" s="11" t="inlineStr">
        <is>
          <t>F-01</t>
        </is>
      </c>
      <c r="L25" s="11" t="inlineStr">
        <is>
          <t>H_Contrato_Dados; todos CEIs; Fechamento vigente 13/09/2026, §1</t>
        </is>
      </c>
      <c r="M25" s="11">
        <f>F25*G25</f>
        <v>0</v>
      </c>
    </row>
    <row r="26" ht="72" customHeight="1">
      <c r="A26" s="10" t="inlineStr">
        <is>
          <t>BK-020</t>
        </is>
      </c>
      <c r="B26" s="10" t="inlineStr">
        <is>
          <t>01 Arquitetura e UX</t>
        </is>
      </c>
      <c r="C26" s="10" t="inlineStr">
        <is>
          <t>Modelar estado, proveniência e consistência entre telas</t>
        </is>
      </c>
      <c r="D26" s="10" t="inlineStr">
        <is>
          <t>Desenvolvimento</t>
        </is>
      </c>
      <c r="E26" s="12" t="inlineStr">
        <is>
          <t>Não iniciada</t>
        </is>
      </c>
      <c r="F26" s="30" t="n">
        <v>1</v>
      </c>
      <c r="G26" s="31">
        <f>IF(AND(E26="Concluída",H26&lt;&gt;""),1,0)</f>
        <v>0</v>
      </c>
      <c r="H26" s="12" t="inlineStr"/>
      <c r="I26" s="10" t="inlineStr">
        <is>
          <t>Engenharia</t>
        </is>
      </c>
      <c r="J26" s="10" t="inlineStr">
        <is>
          <t>BK-018, BK-019</t>
        </is>
      </c>
      <c r="K26" s="10" t="inlineStr">
        <is>
          <t>F-08,F-20</t>
        </is>
      </c>
      <c r="L26" s="10" t="inlineStr">
        <is>
          <t>M-002,M-037,M-038; H_Contrato_Dados; Fechamento vigente 13/09/2026, §§4.3,8.7–8.8</t>
        </is>
      </c>
      <c r="M26" s="10">
        <f>F26*G26</f>
        <v>0</v>
      </c>
    </row>
    <row r="27" ht="72" customHeight="1">
      <c r="A27" s="11" t="inlineStr">
        <is>
          <t>BK-021</t>
        </is>
      </c>
      <c r="B27" s="11" t="inlineStr">
        <is>
          <t>01 Arquitetura e UX</t>
        </is>
      </c>
      <c r="C27" s="11" t="inlineStr">
        <is>
          <t>Transcrever o design congelado em componentes</t>
        </is>
      </c>
      <c r="D27" s="11" t="inlineStr">
        <is>
          <t>Desenvolvimento</t>
        </is>
      </c>
      <c r="E27" s="12" t="inlineStr">
        <is>
          <t>Não iniciada</t>
        </is>
      </c>
      <c r="F27" s="30" t="n">
        <v>1</v>
      </c>
      <c r="G27" s="32">
        <f>IF(AND(E27="Concluída",H27&lt;&gt;""),1,0)</f>
        <v>0</v>
      </c>
      <c r="H27" s="12" t="inlineStr"/>
      <c r="I27" s="11" t="inlineStr">
        <is>
          <t>UX</t>
        </is>
      </c>
      <c r="J27" s="11" t="inlineStr">
        <is>
          <t>BK-003, BK-004, BK-012</t>
        </is>
      </c>
      <c r="K27" s="11" t="inlineStr">
        <is>
          <t>Q-01,Q-02,Q-18,F-13</t>
        </is>
      </c>
      <c r="L27" s="11" t="inlineStr">
        <is>
          <t>Todas as imagens; M-039,M-050; Fechamento vigente 13/09/2026, §5</t>
        </is>
      </c>
      <c r="M27" s="11">
        <f>F27*G27</f>
        <v>0</v>
      </c>
    </row>
    <row r="28" ht="72" customHeight="1">
      <c r="A28" s="10" t="inlineStr">
        <is>
          <t>BK-022</t>
        </is>
      </c>
      <c r="B28" s="10" t="inlineStr">
        <is>
          <t>01 Arquitetura e UX</t>
        </is>
      </c>
      <c r="C28" s="10" t="inlineStr">
        <is>
          <t>Especificar acessibilidade, telas pequenas e estados de exceção</t>
        </is>
      </c>
      <c r="D28" s="10" t="inlineStr">
        <is>
          <t>Desenvolvimento</t>
        </is>
      </c>
      <c r="E28" s="12" t="inlineStr">
        <is>
          <t>Não iniciada</t>
        </is>
      </c>
      <c r="F28" s="30" t="n">
        <v>1</v>
      </c>
      <c r="G28" s="31">
        <f>IF(AND(E28="Concluída",H28&lt;&gt;""),1,0)</f>
        <v>0</v>
      </c>
      <c r="H28" s="12" t="inlineStr"/>
      <c r="I28" s="10" t="inlineStr">
        <is>
          <t>UX + QA</t>
        </is>
      </c>
      <c r="J28" s="10" t="inlineStr">
        <is>
          <t>BK-021, BK-014</t>
        </is>
      </c>
      <c r="K28" s="10" t="inlineStr">
        <is>
          <t>Q-18,F-13</t>
        </is>
      </c>
      <c r="L28" s="10" t="inlineStr">
        <is>
          <t>Todas as imagens; gaps UX; Fechamento vigente 13/09/2026, §5</t>
        </is>
      </c>
      <c r="M28" s="10">
        <f>F28*G28</f>
        <v>0</v>
      </c>
    </row>
    <row r="29" ht="72" customHeight="1">
      <c r="A29" s="11" t="inlineStr">
        <is>
          <t>BK-023</t>
        </is>
      </c>
      <c r="B29" s="11" t="inlineStr">
        <is>
          <t>01 Arquitetura e UX</t>
        </is>
      </c>
      <c r="C29" s="11" t="inlineStr">
        <is>
          <t>Decidir a necessidade de Python e Streamlit</t>
        </is>
      </c>
      <c r="D29" s="11" t="inlineStr">
        <is>
          <t>Desenvolvimento</t>
        </is>
      </c>
      <c r="E29" s="12" t="inlineStr">
        <is>
          <t>Não iniciada</t>
        </is>
      </c>
      <c r="F29" s="30" t="n">
        <v>1</v>
      </c>
      <c r="G29" s="32">
        <f>IF(AND(E29="Concluída",H29&lt;&gt;""),1,0)</f>
        <v>0</v>
      </c>
      <c r="H29" s="12" t="inlineStr"/>
      <c r="I29" s="11" t="inlineStr">
        <is>
          <t>Arquitetura + Dados</t>
        </is>
      </c>
      <c r="J29" s="11" t="inlineStr">
        <is>
          <t>BK-017, BK-009, BK-010, BK-014</t>
        </is>
      </c>
      <c r="K29" s="11" t="inlineStr"/>
      <c r="L29" s="11" t="inlineStr">
        <is>
          <t>Sugestão permitida pelo usuário; proposta técnica</t>
        </is>
      </c>
      <c r="M29" s="11">
        <f>F29*G29</f>
        <v>0</v>
      </c>
    </row>
    <row r="30" ht="72" customHeight="1">
      <c r="A30" s="10" t="inlineStr">
        <is>
          <t>BK-024</t>
        </is>
      </c>
      <c r="B30" s="10" t="inlineStr">
        <is>
          <t>01 Arquitetura e UX</t>
        </is>
      </c>
      <c r="C30" s="10" t="inlineStr">
        <is>
          <t>Planejar segurança e proteção dos dados</t>
        </is>
      </c>
      <c r="D30" s="10" t="inlineStr">
        <is>
          <t>Desenvolvimento</t>
        </is>
      </c>
      <c r="E30" s="12" t="inlineStr">
        <is>
          <t>Não iniciada</t>
        </is>
      </c>
      <c r="F30" s="30" t="n">
        <v>1</v>
      </c>
      <c r="G30" s="31">
        <f>IF(AND(E30="Concluída",H30&lt;&gt;""),1,0)</f>
        <v>0</v>
      </c>
      <c r="H30" s="12" t="inlineStr"/>
      <c r="I30" s="10" t="inlineStr">
        <is>
          <t>Segurança + Arquitetura</t>
        </is>
      </c>
      <c r="J30" s="10" t="inlineStr">
        <is>
          <t>BK-013, BK-014, BK-019</t>
        </is>
      </c>
      <c r="K30" s="10" t="inlineStr">
        <is>
          <t>R-02</t>
        </is>
      </c>
      <c r="L30" s="10" t="inlineStr">
        <is>
          <t>M-058; Y_CEI_Tela_17; Consolidação 13/09/2026, §2</t>
        </is>
      </c>
      <c r="M30" s="10">
        <f>F30*G30</f>
        <v>0</v>
      </c>
    </row>
    <row r="31" ht="72" customHeight="1">
      <c r="A31" s="11" t="inlineStr">
        <is>
          <t>BK-025</t>
        </is>
      </c>
      <c r="B31" s="11" t="inlineStr">
        <is>
          <t>02 Fundação do projeto</t>
        </is>
      </c>
      <c r="C31" s="11" t="inlineStr">
        <is>
          <t>Preparar o repositório e as convenções do projeto</t>
        </is>
      </c>
      <c r="D31" s="11" t="inlineStr">
        <is>
          <t>Desenvolvimento</t>
        </is>
      </c>
      <c r="E31" s="12" t="inlineStr">
        <is>
          <t>Não iniciada</t>
        </is>
      </c>
      <c r="F31" s="30" t="n">
        <v>1</v>
      </c>
      <c r="G31" s="32">
        <f>IF(AND(E31="Concluída",H31&lt;&gt;""),1,0)</f>
        <v>0</v>
      </c>
      <c r="H31" s="12" t="inlineStr"/>
      <c r="I31" s="11" t="inlineStr">
        <is>
          <t>Engenharia</t>
        </is>
      </c>
      <c r="J31" s="11" t="inlineStr">
        <is>
          <t>BK-002, BK-017, BK-015</t>
        </is>
      </c>
      <c r="K31" s="11" t="inlineStr"/>
      <c r="L31" s="11" t="inlineStr">
        <is>
          <t>GitHub vazio; BK arquitetura</t>
        </is>
      </c>
      <c r="M31" s="11">
        <f>F31*G31</f>
        <v>0</v>
      </c>
    </row>
    <row r="32" ht="72" customHeight="1">
      <c r="A32" s="10" t="inlineStr">
        <is>
          <t>BK-026</t>
        </is>
      </c>
      <c r="B32" s="10" t="inlineStr">
        <is>
          <t>02 Fundação do projeto</t>
        </is>
      </c>
      <c r="C32" s="10" t="inlineStr">
        <is>
          <t>Preparar o ambiente de desenvolvimento local</t>
        </is>
      </c>
      <c r="D32" s="10" t="inlineStr">
        <is>
          <t>Desenvolvimento</t>
        </is>
      </c>
      <c r="E32" s="12" t="inlineStr">
        <is>
          <t>Não iniciada</t>
        </is>
      </c>
      <c r="F32" s="30" t="n">
        <v>1</v>
      </c>
      <c r="G32" s="31">
        <f>IF(AND(E32="Concluída",H32&lt;&gt;""),1,0)</f>
        <v>0</v>
      </c>
      <c r="H32" s="12" t="inlineStr"/>
      <c r="I32" s="10" t="inlineStr">
        <is>
          <t>Engenharia</t>
        </is>
      </c>
      <c r="J32" s="10" t="inlineStr">
        <is>
          <t>BK-025, BK-018, BK-014</t>
        </is>
      </c>
      <c r="K32" s="10" t="inlineStr"/>
      <c r="L32" s="10" t="inlineStr"/>
      <c r="M32" s="10">
        <f>F32*G32</f>
        <v>0</v>
      </c>
    </row>
    <row r="33" ht="72" customHeight="1">
      <c r="A33" s="11" t="inlineStr">
        <is>
          <t>BK-027</t>
        </is>
      </c>
      <c r="B33" s="11" t="inlineStr">
        <is>
          <t>02 Fundação do projeto</t>
        </is>
      </c>
      <c r="C33" s="11" t="inlineStr">
        <is>
          <t>Criar a fundação do backend Go</t>
        </is>
      </c>
      <c r="D33" s="11" t="inlineStr">
        <is>
          <t>Desenvolvimento</t>
        </is>
      </c>
      <c r="E33" s="12" t="inlineStr">
        <is>
          <t>Não iniciada</t>
        </is>
      </c>
      <c r="F33" s="30" t="n">
        <v>1</v>
      </c>
      <c r="G33" s="32">
        <f>IF(AND(E33="Concluída",H33&lt;&gt;""),1,0)</f>
        <v>0</v>
      </c>
      <c r="H33" s="12" t="inlineStr"/>
      <c r="I33" s="11" t="inlineStr">
        <is>
          <t>Engenharia</t>
        </is>
      </c>
      <c r="J33" s="11" t="inlineStr">
        <is>
          <t>BK-026, BK-017</t>
        </is>
      </c>
      <c r="K33" s="11" t="inlineStr"/>
      <c r="L33" s="11" t="inlineStr"/>
      <c r="M33" s="11">
        <f>F33*G33</f>
        <v>0</v>
      </c>
    </row>
    <row r="34" ht="72" customHeight="1">
      <c r="A34" s="10" t="inlineStr">
        <is>
          <t>BK-028</t>
        </is>
      </c>
      <c r="B34" s="10" t="inlineStr">
        <is>
          <t>02 Fundação do projeto</t>
        </is>
      </c>
      <c r="C34" s="10" t="inlineStr">
        <is>
          <t>Criar a fundação do frontend React JS</t>
        </is>
      </c>
      <c r="D34" s="10" t="inlineStr">
        <is>
          <t>Desenvolvimento</t>
        </is>
      </c>
      <c r="E34" s="12" t="inlineStr">
        <is>
          <t>Não iniciada</t>
        </is>
      </c>
      <c r="F34" s="30" t="n">
        <v>1</v>
      </c>
      <c r="G34" s="31">
        <f>IF(AND(E34="Concluída",H34&lt;&gt;""),1,0)</f>
        <v>0</v>
      </c>
      <c r="H34" s="12" t="inlineStr"/>
      <c r="I34" s="10" t="inlineStr">
        <is>
          <t>Frontend</t>
        </is>
      </c>
      <c r="J34" s="10" t="inlineStr">
        <is>
          <t>BK-026, BK-021, BK-022, BK-019</t>
        </is>
      </c>
      <c r="K34" s="10" t="inlineStr"/>
      <c r="L34" s="10" t="inlineStr"/>
      <c r="M34" s="10">
        <f>F34*G34</f>
        <v>0</v>
      </c>
    </row>
    <row r="35" ht="72" customHeight="1">
      <c r="A35" s="11" t="inlineStr">
        <is>
          <t>BK-029</t>
        </is>
      </c>
      <c r="B35" s="11" t="inlineStr">
        <is>
          <t>02 Fundação do projeto</t>
        </is>
      </c>
      <c r="C35" s="11" t="inlineStr">
        <is>
          <t>Criar o esquema inicial e o controle de migrações</t>
        </is>
      </c>
      <c r="D35" s="11" t="inlineStr">
        <is>
          <t>Desenvolvimento</t>
        </is>
      </c>
      <c r="E35" s="12" t="inlineStr">
        <is>
          <t>Não iniciada</t>
        </is>
      </c>
      <c r="F35" s="30" t="n">
        <v>1</v>
      </c>
      <c r="G35" s="32">
        <f>IF(AND(E35="Concluída",H35&lt;&gt;""),1,0)</f>
        <v>0</v>
      </c>
      <c r="H35" s="12" t="inlineStr"/>
      <c r="I35" s="11" t="inlineStr">
        <is>
          <t>Engenharia</t>
        </is>
      </c>
      <c r="J35" s="11" t="inlineStr">
        <is>
          <t>BK-018, BK-027</t>
        </is>
      </c>
      <c r="K35" s="11" t="inlineStr"/>
      <c r="L35" s="11" t="inlineStr"/>
      <c r="M35" s="11">
        <f>F35*G35</f>
        <v>0</v>
      </c>
    </row>
    <row r="36" ht="72" customHeight="1">
      <c r="A36" s="10" t="inlineStr">
        <is>
          <t>BK-030</t>
        </is>
      </c>
      <c r="B36" s="10" t="inlineStr">
        <is>
          <t>02 Fundação do projeto</t>
        </is>
      </c>
      <c r="C36" s="10" t="inlineStr">
        <is>
          <t>Configurar verificações automáticas do projeto</t>
        </is>
      </c>
      <c r="D36" s="10" t="inlineStr">
        <is>
          <t>Desenvolvimento</t>
        </is>
      </c>
      <c r="E36" s="12" t="inlineStr">
        <is>
          <t>Não iniciada</t>
        </is>
      </c>
      <c r="F36" s="30" t="n">
        <v>1</v>
      </c>
      <c r="G36" s="31">
        <f>IF(AND(E36="Concluída",H36&lt;&gt;""),1,0)</f>
        <v>0</v>
      </c>
      <c r="H36" s="12" t="inlineStr"/>
      <c r="I36" s="10" t="inlineStr">
        <is>
          <t>Engenharia + Infraestrutura</t>
        </is>
      </c>
      <c r="J36" s="10" t="inlineStr">
        <is>
          <t>BK-027, BK-028</t>
        </is>
      </c>
      <c r="K36" s="10" t="inlineStr"/>
      <c r="L36" s="10" t="inlineStr">
        <is>
          <t>Repositório público; recomendação GitHub Actions</t>
        </is>
      </c>
      <c r="M36" s="10">
        <f>F36*G36</f>
        <v>0</v>
      </c>
    </row>
    <row r="37" ht="72" customHeight="1">
      <c r="A37" s="11" t="inlineStr">
        <is>
          <t>BK-031</t>
        </is>
      </c>
      <c r="B37" s="11" t="inlineStr">
        <is>
          <t>02 Fundação do projeto</t>
        </is>
      </c>
      <c r="C37" s="11" t="inlineStr">
        <is>
          <t>Criar logs e rastreio técnico básicos</t>
        </is>
      </c>
      <c r="D37" s="11" t="inlineStr">
        <is>
          <t>Desenvolvimento</t>
        </is>
      </c>
      <c r="E37" s="12" t="inlineStr">
        <is>
          <t>Não iniciada</t>
        </is>
      </c>
      <c r="F37" s="30" t="n">
        <v>1</v>
      </c>
      <c r="G37" s="32">
        <f>IF(AND(E37="Concluída",H37&lt;&gt;""),1,0)</f>
        <v>0</v>
      </c>
      <c r="H37" s="12" t="inlineStr"/>
      <c r="I37" s="11" t="inlineStr">
        <is>
          <t>Engenharia</t>
        </is>
      </c>
      <c r="J37" s="11" t="inlineStr">
        <is>
          <t>BK-027, BK-024</t>
        </is>
      </c>
      <c r="K37" s="11" t="inlineStr"/>
      <c r="L37" s="11" t="inlineStr"/>
      <c r="M37" s="11">
        <f>F37*G37</f>
        <v>0</v>
      </c>
    </row>
    <row r="38" ht="72" customHeight="1">
      <c r="A38" s="10" t="inlineStr">
        <is>
          <t>BK-032</t>
        </is>
      </c>
      <c r="B38" s="10" t="inlineStr">
        <is>
          <t>03 Identidade e configurações</t>
        </is>
      </c>
      <c r="C38" s="10" t="inlineStr">
        <is>
          <t>Implementar autenticação e administração inicial</t>
        </is>
      </c>
      <c r="D38" s="10" t="inlineStr">
        <is>
          <t>Desenvolvimento</t>
        </is>
      </c>
      <c r="E38" s="12" t="inlineStr">
        <is>
          <t>Não iniciada</t>
        </is>
      </c>
      <c r="F38" s="30" t="n">
        <v>1</v>
      </c>
      <c r="G38" s="31">
        <f>IF(AND(E38="Concluída",H38&lt;&gt;""),1,0)</f>
        <v>0</v>
      </c>
      <c r="H38" s="12" t="inlineStr"/>
      <c r="I38" s="10" t="inlineStr">
        <is>
          <t>Engenharia</t>
        </is>
      </c>
      <c r="J38" s="10" t="inlineStr">
        <is>
          <t>BK-013, BK-029, BK-028, BK-024</t>
        </is>
      </c>
      <c r="K38" s="10" t="inlineStr">
        <is>
          <t>F-15</t>
        </is>
      </c>
      <c r="L38" s="10" t="inlineStr">
        <is>
          <t>L-26; Y_CEI_Tela_17</t>
        </is>
      </c>
      <c r="M38" s="10">
        <f>F38*G38</f>
        <v>0</v>
      </c>
    </row>
    <row r="39" ht="72" customHeight="1">
      <c r="A39" s="11" t="inlineStr">
        <is>
          <t>BK-033</t>
        </is>
      </c>
      <c r="B39" s="11" t="inlineStr">
        <is>
          <t>03 Identidade e configurações</t>
        </is>
      </c>
      <c r="C39" s="11" t="inlineStr">
        <is>
          <t>Aplicar permissões no backend e na interface</t>
        </is>
      </c>
      <c r="D39" s="11" t="inlineStr">
        <is>
          <t>Desenvolvimento</t>
        </is>
      </c>
      <c r="E39" s="12" t="inlineStr">
        <is>
          <t>Não iniciada</t>
        </is>
      </c>
      <c r="F39" s="30" t="n">
        <v>1</v>
      </c>
      <c r="G39" s="32">
        <f>IF(AND(E39="Concluída",H39&lt;&gt;""),1,0)</f>
        <v>0</v>
      </c>
      <c r="H39" s="12" t="inlineStr"/>
      <c r="I39" s="11" t="inlineStr">
        <is>
          <t>Engenharia</t>
        </is>
      </c>
      <c r="J39" s="11" t="inlineStr">
        <is>
          <t>BK-032, BK-019</t>
        </is>
      </c>
      <c r="K39" s="11" t="inlineStr">
        <is>
          <t>F-15</t>
        </is>
      </c>
      <c r="L39" s="11" t="inlineStr">
        <is>
          <t>M-057,M-058; H_Contrato_Dados!A38:H38; Fechamento vigente 13/09/2026, §6</t>
        </is>
      </c>
      <c r="M39" s="11">
        <f>F39*G39</f>
        <v>0</v>
      </c>
    </row>
    <row r="40" ht="72" customHeight="1">
      <c r="A40" s="10" t="inlineStr">
        <is>
          <t>BK-034</t>
        </is>
      </c>
      <c r="B40" s="10" t="inlineStr">
        <is>
          <t>03 Identidade e configurações</t>
        </is>
      </c>
      <c r="C40" s="10" t="inlineStr">
        <is>
          <t>Registrar auditoria de acesso e mudanças</t>
        </is>
      </c>
      <c r="D40" s="10" t="inlineStr">
        <is>
          <t>Desenvolvimento</t>
        </is>
      </c>
      <c r="E40" s="12" t="inlineStr">
        <is>
          <t>Não iniciada</t>
        </is>
      </c>
      <c r="F40" s="30" t="n">
        <v>1</v>
      </c>
      <c r="G40" s="31">
        <f>IF(AND(E40="Concluída",H40&lt;&gt;""),1,0)</f>
        <v>0</v>
      </c>
      <c r="H40" s="12" t="inlineStr"/>
      <c r="I40" s="10" t="inlineStr">
        <is>
          <t>Engenharia</t>
        </is>
      </c>
      <c r="J40" s="10" t="inlineStr">
        <is>
          <t>BK-033, BK-031</t>
        </is>
      </c>
      <c r="K40" s="10" t="inlineStr">
        <is>
          <t>F-16</t>
        </is>
      </c>
      <c r="L40" s="10" t="inlineStr">
        <is>
          <t>H_Contrato_Dados!A39:H39; Fechamento vigente 13/09/2026, §6.8</t>
        </is>
      </c>
      <c r="M40" s="10">
        <f>F40*G40</f>
        <v>0</v>
      </c>
    </row>
    <row r="41" ht="72" customHeight="1">
      <c r="A41" s="11" t="inlineStr">
        <is>
          <t>BK-035</t>
        </is>
      </c>
      <c r="B41" s="11" t="inlineStr">
        <is>
          <t>03 Identidade e configurações</t>
        </is>
      </c>
      <c r="C41" s="11" t="inlineStr">
        <is>
          <t>Implementar T17 Usuários e o ciclo de vida das contas</t>
        </is>
      </c>
      <c r="D41" s="11" t="inlineStr">
        <is>
          <t>Desenvolvimento</t>
        </is>
      </c>
      <c r="E41" s="12" t="inlineStr">
        <is>
          <t>Não iniciada</t>
        </is>
      </c>
      <c r="F41" s="30" t="n">
        <v>1</v>
      </c>
      <c r="G41" s="32">
        <f>IF(AND(E41="Concluída",H41&lt;&gt;""),1,0)</f>
        <v>0</v>
      </c>
      <c r="H41" s="12" t="inlineStr"/>
      <c r="I41" s="11" t="inlineStr">
        <is>
          <t>Engenharia</t>
        </is>
      </c>
      <c r="J41" s="11" t="inlineStr">
        <is>
          <t>BK-033, BK-034, BK-022</t>
        </is>
      </c>
      <c r="K41" s="11" t="inlineStr">
        <is>
          <t>F-15</t>
        </is>
      </c>
      <c r="L41" s="11" t="inlineStr">
        <is>
          <t>T17; Y_CEI_Tela_17; T-CEI17-01..08</t>
        </is>
      </c>
      <c r="M41" s="11">
        <f>F41*G41</f>
        <v>0</v>
      </c>
    </row>
    <row r="42" ht="72" customHeight="1">
      <c r="A42" s="10" t="inlineStr">
        <is>
          <t>BK-036</t>
        </is>
      </c>
      <c r="B42" s="10" t="inlineStr">
        <is>
          <t>03 Identidade e configurações</t>
        </is>
      </c>
      <c r="C42" s="10" t="inlineStr">
        <is>
          <t>Implementar registro e vigência dos parâmetros</t>
        </is>
      </c>
      <c r="D42" s="10" t="inlineStr">
        <is>
          <t>Desenvolvimento</t>
        </is>
      </c>
      <c r="E42" s="12" t="inlineStr">
        <is>
          <t>Não iniciada</t>
        </is>
      </c>
      <c r="F42" s="30" t="n">
        <v>1</v>
      </c>
      <c r="G42" s="31">
        <f>IF(AND(E42="Concluída",H42&lt;&gt;""),1,0)</f>
        <v>0</v>
      </c>
      <c r="H42" s="12" t="inlineStr"/>
      <c r="I42" s="10" t="inlineStr">
        <is>
          <t>Engenharia</t>
        </is>
      </c>
      <c r="J42" s="10" t="inlineStr">
        <is>
          <t>BK-018, BK-033, BK-034</t>
        </is>
      </c>
      <c r="K42" s="10" t="inlineStr">
        <is>
          <t>F-16</t>
        </is>
      </c>
      <c r="L42" s="10" t="inlineStr">
        <is>
          <t>M-056; H_Contrato_Dados!A34:H35; Fechamento vigente 13/09/2026, §6.3–6.7</t>
        </is>
      </c>
      <c r="M42" s="10">
        <f>F42*G42</f>
        <v>0</v>
      </c>
    </row>
    <row r="43" ht="72" customHeight="1">
      <c r="A43" s="11" t="inlineStr">
        <is>
          <t>BK-037</t>
        </is>
      </c>
      <c r="B43" s="11" t="inlineStr">
        <is>
          <t>03 Identidade e configurações</t>
        </is>
      </c>
      <c r="C43" s="11" t="inlineStr">
        <is>
          <t>Implementar T16 Parâmetros e fluxos autorizados de edição</t>
        </is>
      </c>
      <c r="D43" s="11" t="inlineStr">
        <is>
          <t>Desenvolvimento</t>
        </is>
      </c>
      <c r="E43" s="12" t="inlineStr">
        <is>
          <t>Não iniciada</t>
        </is>
      </c>
      <c r="F43" s="30" t="n">
        <v>1</v>
      </c>
      <c r="G43" s="32">
        <f>IF(AND(E43="Concluída",H43&lt;&gt;""),1,0)</f>
        <v>0</v>
      </c>
      <c r="H43" s="12" t="inlineStr"/>
      <c r="I43" s="11" t="inlineStr">
        <is>
          <t>Engenharia</t>
        </is>
      </c>
      <c r="J43" s="11" t="inlineStr">
        <is>
          <t>BK-036, BK-021</t>
        </is>
      </c>
      <c r="K43" s="11" t="inlineStr">
        <is>
          <t>F-16</t>
        </is>
      </c>
      <c r="L43" s="11" t="inlineStr">
        <is>
          <t>T16; W_CEI_Tela_16; T-CEI16-01..08; Consolidação 13/09/2026, §§1,4–5; Fechamento vigente 13/09/2026, §6</t>
        </is>
      </c>
      <c r="M43" s="11">
        <f>F43*G43</f>
        <v>0</v>
      </c>
    </row>
    <row r="44" ht="72" customHeight="1">
      <c r="A44" s="10" t="inlineStr">
        <is>
          <t>BK-038</t>
        </is>
      </c>
      <c r="B44" s="10" t="inlineStr">
        <is>
          <t>04 Dados e integrações</t>
        </is>
      </c>
      <c r="C44" s="10" t="inlineStr">
        <is>
          <t>Implementar proveniência e snapshots de fatos</t>
        </is>
      </c>
      <c r="D44" s="10" t="inlineStr">
        <is>
          <t>Desenvolvimento</t>
        </is>
      </c>
      <c r="E44" s="12" t="inlineStr">
        <is>
          <t>Não iniciada</t>
        </is>
      </c>
      <c r="F44" s="30" t="n">
        <v>1</v>
      </c>
      <c r="G44" s="31">
        <f>IF(AND(E44="Concluída",H44&lt;&gt;""),1,0)</f>
        <v>0</v>
      </c>
      <c r="H44" s="12" t="inlineStr"/>
      <c r="I44" s="10" t="inlineStr">
        <is>
          <t>Engenharia</t>
        </is>
      </c>
      <c r="J44" s="10" t="inlineStr">
        <is>
          <t>BK-020, BK-029, BK-034</t>
        </is>
      </c>
      <c r="K44" s="10" t="inlineStr">
        <is>
          <t>R-02,F-16,F-20</t>
        </is>
      </c>
      <c r="L44" s="10" t="inlineStr">
        <is>
          <t>M-037; H_Contrato_Dados!A3:H3; Consolidação 13/09/2026, §2; Fechamento vigente 13/09/2026, §6.6–6.8</t>
        </is>
      </c>
      <c r="M44" s="10">
        <f>F44*G44</f>
        <v>0</v>
      </c>
    </row>
    <row r="45" ht="72" customHeight="1">
      <c r="A45" s="11" t="inlineStr">
        <is>
          <t>BK-039</t>
        </is>
      </c>
      <c r="B45" s="11" t="inlineStr">
        <is>
          <t>04 Dados e integrações</t>
        </is>
      </c>
      <c r="C45" s="11" t="inlineStr">
        <is>
          <t>Implementar execução controlada de trabalhos em segundo plano</t>
        </is>
      </c>
      <c r="D45" s="11" t="inlineStr">
        <is>
          <t>Desenvolvimento</t>
        </is>
      </c>
      <c r="E45" s="12" t="inlineStr">
        <is>
          <t>Não iniciada</t>
        </is>
      </c>
      <c r="F45" s="30" t="n">
        <v>1</v>
      </c>
      <c r="G45" s="32">
        <f>IF(AND(E45="Concluída",H45&lt;&gt;""),1,0)</f>
        <v>0</v>
      </c>
      <c r="H45" s="12" t="inlineStr"/>
      <c r="I45" s="11" t="inlineStr">
        <is>
          <t>Engenharia</t>
        </is>
      </c>
      <c r="J45" s="11" t="inlineStr">
        <is>
          <t>BK-027, BK-029, BK-031</t>
        </is>
      </c>
      <c r="K45" s="11" t="inlineStr">
        <is>
          <t>F-19</t>
        </is>
      </c>
      <c r="L45" s="11" t="inlineStr">
        <is>
          <t>U_CEI_Tela_15; Fechamento vigente 13/09/2026, §8.11</t>
        </is>
      </c>
      <c r="M45" s="11">
        <f>F45*G45</f>
        <v>0</v>
      </c>
    </row>
    <row r="46" ht="72" customHeight="1">
      <c r="A46" s="10" t="inlineStr">
        <is>
          <t>BK-040</t>
        </is>
      </c>
      <c r="B46" s="10" t="inlineStr">
        <is>
          <t>04 Dados e integrações</t>
        </is>
      </c>
      <c r="C46" s="10" t="inlineStr">
        <is>
          <t>Validar acesso e cobertura dos dados do Bling</t>
        </is>
      </c>
      <c r="D46" s="10" t="inlineStr">
        <is>
          <t>Desenvolvimento</t>
        </is>
      </c>
      <c r="E46" s="12" t="inlineStr">
        <is>
          <t>Não iniciada</t>
        </is>
      </c>
      <c r="F46" s="30" t="n">
        <v>1</v>
      </c>
      <c r="G46" s="31">
        <f>IF(AND(E46="Concluída",H46&lt;&gt;""),1,0)</f>
        <v>0</v>
      </c>
      <c r="H46" s="12" t="inlineStr"/>
      <c r="I46" s="10" t="inlineStr">
        <is>
          <t>Engenharia</t>
        </is>
      </c>
      <c r="J46" s="10" t="inlineStr">
        <is>
          <t>BK-010, BK-014, BK-024</t>
        </is>
      </c>
      <c r="K46" s="10" t="inlineStr">
        <is>
          <t>R-03,R-04,HT-01,HT-02,HT-03,HT-04,HT-05,HT-06,HT-07,HT-08,F-02,F-03</t>
        </is>
      </c>
      <c r="L46" s="10" t="inlineStr">
        <is>
          <t>Bling documentação oficial; H_Contrato_Dados; Consolidação 13/09/2026, §§3–9; pendências 1–8; Fechamento vigente 13/09/2026, §§2,8</t>
        </is>
      </c>
      <c r="M46" s="10">
        <f>F46*G46</f>
        <v>0</v>
      </c>
    </row>
    <row r="47" ht="72" customHeight="1">
      <c r="A47" s="11" t="inlineStr">
        <is>
          <t>BK-041</t>
        </is>
      </c>
      <c r="B47" s="11" t="inlineStr">
        <is>
          <t>04 Dados e integrações</t>
        </is>
      </c>
      <c r="C47" s="11" t="inlineStr">
        <is>
          <t>Implementar o adaptador de leitura do Bling</t>
        </is>
      </c>
      <c r="D47" s="11" t="inlineStr">
        <is>
          <t>Desenvolvimento</t>
        </is>
      </c>
      <c r="E47" s="12" t="inlineStr">
        <is>
          <t>Não iniciada</t>
        </is>
      </c>
      <c r="F47" s="30" t="n">
        <v>1</v>
      </c>
      <c r="G47" s="32">
        <f>IF(AND(E47="Concluída",H47&lt;&gt;""),1,0)</f>
        <v>0</v>
      </c>
      <c r="H47" s="12" t="inlineStr"/>
      <c r="I47" s="11" t="inlineStr">
        <is>
          <t>Engenharia</t>
        </is>
      </c>
      <c r="J47" s="11" t="inlineStr">
        <is>
          <t>BK-040, BK-039, BK-038</t>
        </is>
      </c>
      <c r="K47" s="11" t="inlineStr">
        <is>
          <t>R-04</t>
        </is>
      </c>
      <c r="L47" s="11" t="inlineStr">
        <is>
          <t>M-003,M-035; documentação Bling; Consolidação 13/09/2026, §§4,8–9; Fechamento vigente 13/09/2026, §2</t>
        </is>
      </c>
      <c r="M47" s="11">
        <f>F47*G47</f>
        <v>0</v>
      </c>
    </row>
    <row r="48" ht="72" customHeight="1">
      <c r="A48" s="10" t="inlineStr">
        <is>
          <t>BK-042</t>
        </is>
      </c>
      <c r="B48" s="10" t="inlineStr">
        <is>
          <t>04 Dados e integrações</t>
        </is>
      </c>
      <c r="C48" s="10" t="inlineStr">
        <is>
          <t>Implementar leitura das três estruturas autorizadas do Google Drive</t>
        </is>
      </c>
      <c r="D48" s="10" t="inlineStr">
        <is>
          <t>Desenvolvimento</t>
        </is>
      </c>
      <c r="E48" s="12" t="inlineStr">
        <is>
          <t>Não iniciada</t>
        </is>
      </c>
      <c r="F48" s="30" t="n">
        <v>1</v>
      </c>
      <c r="G48" s="31">
        <f>IF(AND(E48="Concluída",H48&lt;&gt;""),1,0)</f>
        <v>0</v>
      </c>
      <c r="H48" s="12" t="inlineStr"/>
      <c r="I48" s="10" t="inlineStr">
        <is>
          <t>Engenharia</t>
        </is>
      </c>
      <c r="J48" s="10" t="inlineStr">
        <is>
          <t>BK-010, BK-039, BK-038, BK-024</t>
        </is>
      </c>
      <c r="K48" s="10" t="inlineStr">
        <is>
          <t>R-01,R-02</t>
        </is>
      </c>
      <c r="L48" s="10" t="inlineStr">
        <is>
          <t>M-009,M-010; L-11,L-12; Consolidação 13/09/2026, §§1–2</t>
        </is>
      </c>
      <c r="M48" s="10">
        <f>F48*G48</f>
        <v>0</v>
      </c>
    </row>
    <row r="49" ht="72" customHeight="1">
      <c r="A49" s="11" t="inlineStr">
        <is>
          <t>BK-043</t>
        </is>
      </c>
      <c r="B49" s="11" t="inlineStr">
        <is>
          <t>04 Dados e integrações</t>
        </is>
      </c>
      <c r="C49" s="11" t="inlineStr">
        <is>
          <t>Implementar validação e interpretação dos arquivos</t>
        </is>
      </c>
      <c r="D49" s="11" t="inlineStr">
        <is>
          <t>Desenvolvimento</t>
        </is>
      </c>
      <c r="E49" s="12" t="inlineStr">
        <is>
          <t>Não iniciada</t>
        </is>
      </c>
      <c r="F49" s="30" t="n">
        <v>1</v>
      </c>
      <c r="G49" s="32">
        <f>IF(AND(E49="Concluída",H49&lt;&gt;""),1,0)</f>
        <v>0</v>
      </c>
      <c r="H49" s="12" t="inlineStr"/>
      <c r="I49" s="11" t="inlineStr">
        <is>
          <t>Engenharia</t>
        </is>
      </c>
      <c r="J49" s="11" t="inlineStr">
        <is>
          <t>BK-042</t>
        </is>
      </c>
      <c r="K49" s="11" t="inlineStr"/>
      <c r="L49" s="11" t="inlineStr">
        <is>
          <t>H_Contrato_Dados; T-FILE-*; Consolidação 13/09/2026, §§1–2,4</t>
        </is>
      </c>
      <c r="M49" s="11">
        <f>F49*G49</f>
        <v>0</v>
      </c>
    </row>
    <row r="50" ht="72" customHeight="1">
      <c r="A50" s="10" t="inlineStr">
        <is>
          <t>BK-044</t>
        </is>
      </c>
      <c r="B50" s="10" t="inlineStr">
        <is>
          <t>04 Dados e integrações</t>
        </is>
      </c>
      <c r="C50" s="10" t="inlineStr">
        <is>
          <t>Deduplicar arquivos e fatos de negócio</t>
        </is>
      </c>
      <c r="D50" s="10" t="inlineStr">
        <is>
          <t>Desenvolvimento</t>
        </is>
      </c>
      <c r="E50" s="12" t="inlineStr">
        <is>
          <t>Não iniciada</t>
        </is>
      </c>
      <c r="F50" s="30" t="n">
        <v>1</v>
      </c>
      <c r="G50" s="31">
        <f>IF(AND(E50="Concluída",H50&lt;&gt;""),1,0)</f>
        <v>0</v>
      </c>
      <c r="H50" s="12" t="inlineStr"/>
      <c r="I50" s="10" t="inlineStr">
        <is>
          <t>Engenharia</t>
        </is>
      </c>
      <c r="J50" s="10" t="inlineStr">
        <is>
          <t>BK-043, BK-041, BK-018</t>
        </is>
      </c>
      <c r="K50" s="10" t="inlineStr">
        <is>
          <t>R-02,F-20</t>
        </is>
      </c>
      <c r="L50" s="10" t="inlineStr">
        <is>
          <t>M-038; T-IDEMP-*; Consolidação 13/09/2026, §2</t>
        </is>
      </c>
      <c r="M50" s="10">
        <f>F50*G50</f>
        <v>0</v>
      </c>
    </row>
    <row r="51" ht="72" customHeight="1">
      <c r="A51" s="11" t="inlineStr">
        <is>
          <t>BK-045</t>
        </is>
      </c>
      <c r="B51" s="11" t="inlineStr">
        <is>
          <t>04 Dados e integrações</t>
        </is>
      </c>
      <c r="C51" s="11" t="inlineStr">
        <is>
          <t>Ingerir produtos, clientes e vendas realizadas</t>
        </is>
      </c>
      <c r="D51" s="11" t="inlineStr">
        <is>
          <t>Desenvolvimento</t>
        </is>
      </c>
      <c r="E51" s="12" t="inlineStr">
        <is>
          <t>Não iniciada</t>
        </is>
      </c>
      <c r="F51" s="30" t="n">
        <v>1</v>
      </c>
      <c r="G51" s="32">
        <f>IF(AND(E51="Concluída",H51&lt;&gt;""),1,0)</f>
        <v>0</v>
      </c>
      <c r="H51" s="12" t="inlineStr"/>
      <c r="I51" s="11" t="inlineStr">
        <is>
          <t>Engenharia</t>
        </is>
      </c>
      <c r="J51" s="11" t="inlineStr">
        <is>
          <t>BK-044, BK-040</t>
        </is>
      </c>
      <c r="K51" s="11" t="inlineStr"/>
      <c r="L51" s="11" t="inlineStr">
        <is>
          <t>M-003; H_Contrato_Dados!A4:H4</t>
        </is>
      </c>
      <c r="M51" s="11">
        <f>F51*G51</f>
        <v>0</v>
      </c>
    </row>
    <row r="52" ht="72" customHeight="1">
      <c r="A52" s="10" t="inlineStr">
        <is>
          <t>BK-046</t>
        </is>
      </c>
      <c r="B52" s="10" t="inlineStr">
        <is>
          <t>04 Dados e integrações</t>
        </is>
      </c>
      <c r="C52" s="10" t="inlineStr">
        <is>
          <t>Ingerir recebíveis e eventos do Nuvem Pago</t>
        </is>
      </c>
      <c r="D52" s="10" t="inlineStr">
        <is>
          <t>Desenvolvimento</t>
        </is>
      </c>
      <c r="E52" s="12" t="inlineStr">
        <is>
          <t>Não iniciada</t>
        </is>
      </c>
      <c r="F52" s="30" t="n">
        <v>1</v>
      </c>
      <c r="G52" s="31">
        <f>IF(AND(E52="Concluída",H52&lt;&gt;""),1,0)</f>
        <v>0</v>
      </c>
      <c r="H52" s="12" t="inlineStr"/>
      <c r="I52" s="10" t="inlineStr">
        <is>
          <t>Engenharia</t>
        </is>
      </c>
      <c r="J52" s="10" t="inlineStr">
        <is>
          <t>BK-044, BK-045</t>
        </is>
      </c>
      <c r="K52" s="10" t="inlineStr">
        <is>
          <t>R-10,HT-08,F-18</t>
        </is>
      </c>
      <c r="L52" s="10" t="inlineStr">
        <is>
          <t>M-004,M-005,M-011,M-012; H_Contrato_Dados!A5:H6; Consolidação 13/09/2026, §10; Fechamento vigente 13/09/2026, §8.2,8.5,8.11</t>
        </is>
      </c>
      <c r="M52" s="10">
        <f>F52*G52</f>
        <v>0</v>
      </c>
    </row>
    <row r="53" ht="72" customHeight="1">
      <c r="A53" s="11" t="inlineStr">
        <is>
          <t>BK-047</t>
        </is>
      </c>
      <c r="B53" s="11" t="inlineStr">
        <is>
          <t>04 Dados e integrações</t>
        </is>
      </c>
      <c r="C53" s="11" t="inlineStr">
        <is>
          <t>Ingerir obrigações e movimentos financeiros</t>
        </is>
      </c>
      <c r="D53" s="11" t="inlineStr">
        <is>
          <t>Desenvolvimento</t>
        </is>
      </c>
      <c r="E53" s="12" t="inlineStr">
        <is>
          <t>Não iniciada</t>
        </is>
      </c>
      <c r="F53" s="30" t="n">
        <v>1</v>
      </c>
      <c r="G53" s="32">
        <f>IF(AND(E53="Concluída",H53&lt;&gt;""),1,0)</f>
        <v>0</v>
      </c>
      <c r="H53" s="12" t="inlineStr"/>
      <c r="I53" s="11" t="inlineStr">
        <is>
          <t>Engenharia</t>
        </is>
      </c>
      <c r="J53" s="11" t="inlineStr">
        <is>
          <t>BK-044, BK-005</t>
        </is>
      </c>
      <c r="K53" s="11" t="inlineStr">
        <is>
          <t>R-08,R-09</t>
        </is>
      </c>
      <c r="L53" s="11" t="inlineStr">
        <is>
          <t>M-006,M-007; T04; Consolidação 13/09/2026, §§8–10</t>
        </is>
      </c>
      <c r="M53" s="11">
        <f>F53*G53</f>
        <v>0</v>
      </c>
    </row>
    <row r="54" ht="72" customHeight="1">
      <c r="A54" s="10" t="inlineStr">
        <is>
          <t>BK-048</t>
        </is>
      </c>
      <c r="B54" s="10" t="inlineStr">
        <is>
          <t>04 Dados e integrações</t>
        </is>
      </c>
      <c r="C54" s="10" t="inlineStr">
        <is>
          <t>Ingerir estoque, produção, compras e notas de entrada</t>
        </is>
      </c>
      <c r="D54" s="10" t="inlineStr">
        <is>
          <t>Desenvolvimento</t>
        </is>
      </c>
      <c r="E54" s="12" t="inlineStr">
        <is>
          <t>Não iniciada</t>
        </is>
      </c>
      <c r="F54" s="30" t="n">
        <v>1</v>
      </c>
      <c r="G54" s="31">
        <f>IF(AND(E54="Concluída",H54&lt;&gt;""),1,0)</f>
        <v>0</v>
      </c>
      <c r="H54" s="12" t="inlineStr"/>
      <c r="I54" s="10" t="inlineStr">
        <is>
          <t>Engenharia</t>
        </is>
      </c>
      <c r="J54" s="10" t="inlineStr">
        <is>
          <t>BK-044, BK-040</t>
        </is>
      </c>
      <c r="K54" s="10" t="inlineStr">
        <is>
          <t>R-03,HT-03,HT-07</t>
        </is>
      </c>
      <c r="L54" s="10" t="inlineStr">
        <is>
          <t>M-035; H_Contrato_Dados!A11:H14,A19:H20; Consolidação 13/09/2026, §3; pendência 7</t>
        </is>
      </c>
      <c r="M54" s="10">
        <f>F54*G54</f>
        <v>0</v>
      </c>
    </row>
    <row r="55" ht="72" customHeight="1">
      <c r="A55" s="11" t="inlineStr">
        <is>
          <t>BK-049</t>
        </is>
      </c>
      <c r="B55" s="11" t="inlineStr">
        <is>
          <t>04 Dados e integrações</t>
        </is>
      </c>
      <c r="C55" s="11" t="inlineStr">
        <is>
          <t>Ingerir etiquetas, faturas e frete da nota fiscal</t>
        </is>
      </c>
      <c r="D55" s="11" t="inlineStr">
        <is>
          <t>Desenvolvimento</t>
        </is>
      </c>
      <c r="E55" s="12" t="inlineStr">
        <is>
          <t>Não iniciada</t>
        </is>
      </c>
      <c r="F55" s="30" t="n">
        <v>1</v>
      </c>
      <c r="G55" s="32">
        <f>IF(AND(E55="Concluída",H55&lt;&gt;""),1,0)</f>
        <v>0</v>
      </c>
      <c r="H55" s="12" t="inlineStr"/>
      <c r="I55" s="11" t="inlineStr">
        <is>
          <t>Engenharia</t>
        </is>
      </c>
      <c r="J55" s="11" t="inlineStr">
        <is>
          <t>BK-044, BK-045, BK-010</t>
        </is>
      </c>
      <c r="K55" s="11" t="inlineStr">
        <is>
          <t>R-12,F-18</t>
        </is>
      </c>
      <c r="L55" s="11" t="inlineStr">
        <is>
          <t>M-013..M-016; H_Contrato_Dados!A7:H9; Consolidação 13/09/2026, §12</t>
        </is>
      </c>
      <c r="M55" s="11">
        <f>F55*G55</f>
        <v>0</v>
      </c>
    </row>
    <row r="56" ht="72" customHeight="1">
      <c r="A56" s="10" t="inlineStr">
        <is>
          <t>BK-050</t>
        </is>
      </c>
      <c r="B56" s="10" t="inlineStr">
        <is>
          <t>04 Dados e integrações</t>
        </is>
      </c>
      <c r="C56" s="10" t="inlineStr">
        <is>
          <t>Ingerir eventos de perdas operacionais</t>
        </is>
      </c>
      <c r="D56" s="10" t="inlineStr">
        <is>
          <t>Desenvolvimento</t>
        </is>
      </c>
      <c r="E56" s="12" t="inlineStr">
        <is>
          <t>Não iniciada</t>
        </is>
      </c>
      <c r="F56" s="30" t="n">
        <v>1</v>
      </c>
      <c r="G56" s="31">
        <f>IF(AND(E56="Concluída",H56&lt;&gt;""),1,0)</f>
        <v>0</v>
      </c>
      <c r="H56" s="12" t="inlineStr"/>
      <c r="I56" s="10" t="inlineStr">
        <is>
          <t>Engenharia</t>
        </is>
      </c>
      <c r="J56" s="10" t="inlineStr">
        <is>
          <t>BK-043, BK-044, BK-007</t>
        </is>
      </c>
      <c r="K56" s="10" t="inlineStr">
        <is>
          <t>R-11</t>
        </is>
      </c>
      <c r="L56" s="10" t="inlineStr">
        <is>
          <t>M-024..M-029,M-033; T15; Consolidação 13/09/2026, §11</t>
        </is>
      </c>
      <c r="M56" s="10">
        <f>F56*G56</f>
        <v>0</v>
      </c>
    </row>
    <row r="57" ht="72" customHeight="1">
      <c r="A57" s="11" t="inlineStr">
        <is>
          <t>BK-051</t>
        </is>
      </c>
      <c r="B57" s="11" t="inlineStr">
        <is>
          <t>04 Dados e integrações</t>
        </is>
      </c>
      <c r="C57" s="11" t="inlineStr">
        <is>
          <t>Controlar atualização e falha por fonte</t>
        </is>
      </c>
      <c r="D57" s="11" t="inlineStr">
        <is>
          <t>Desenvolvimento</t>
        </is>
      </c>
      <c r="E57" s="12" t="inlineStr">
        <is>
          <t>Não iniciada</t>
        </is>
      </c>
      <c r="F57" s="30" t="n">
        <v>1</v>
      </c>
      <c r="G57" s="32">
        <f>IF(AND(E57="Concluída",H57&lt;&gt;""),1,0)</f>
        <v>0</v>
      </c>
      <c r="H57" s="12" t="inlineStr"/>
      <c r="I57" s="11" t="inlineStr">
        <is>
          <t>Engenharia</t>
        </is>
      </c>
      <c r="J57" s="11" t="inlineStr">
        <is>
          <t>BK-039, BK-038, BK-010</t>
        </is>
      </c>
      <c r="K57" s="11" t="inlineStr">
        <is>
          <t>R-10,F-19</t>
        </is>
      </c>
      <c r="L57" s="11" t="inlineStr">
        <is>
          <t>L-24; U_CEI_Tela_15; Consolidação 13/09/2026, §10; Fechamento vigente 13/09/2026, §8.11</t>
        </is>
      </c>
      <c r="M57" s="11">
        <f>F57*G57</f>
        <v>0</v>
      </c>
    </row>
    <row r="58" ht="72" customHeight="1">
      <c r="A58" s="10" t="inlineStr">
        <is>
          <t>BK-052</t>
        </is>
      </c>
      <c r="B58" s="10" t="inlineStr">
        <is>
          <t>04 Dados e integrações</t>
        </is>
      </c>
      <c r="C58" s="10" t="inlineStr">
        <is>
          <t>Implementar T15 Importações e Integrações</t>
        </is>
      </c>
      <c r="D58" s="10" t="inlineStr">
        <is>
          <t>Desenvolvimento</t>
        </is>
      </c>
      <c r="E58" s="12" t="inlineStr">
        <is>
          <t>Não iniciada</t>
        </is>
      </c>
      <c r="F58" s="30" t="n">
        <v>1</v>
      </c>
      <c r="G58" s="31">
        <f>IF(AND(E58="Concluída",H58&lt;&gt;""),1,0)</f>
        <v>0</v>
      </c>
      <c r="H58" s="12" t="inlineStr"/>
      <c r="I58" s="10" t="inlineStr">
        <is>
          <t>Engenharia</t>
        </is>
      </c>
      <c r="J58" s="10" t="inlineStr">
        <is>
          <t>BK-051, BK-044, BK-033, BK-028, BK-012</t>
        </is>
      </c>
      <c r="K58" s="10" t="inlineStr">
        <is>
          <t>R-01,F-18</t>
        </is>
      </c>
      <c r="L58" s="10" t="inlineStr">
        <is>
          <t>T15; U_CEI_Tela_15; T-CEI15-01..08; Consolidação 13/09/2026, §§1–2</t>
        </is>
      </c>
      <c r="M58" s="10">
        <f>F58*G58</f>
        <v>0</v>
      </c>
    </row>
    <row r="59" ht="72" customHeight="1">
      <c r="A59" s="11" t="inlineStr">
        <is>
          <t>BK-053</t>
        </is>
      </c>
      <c r="B59" s="11" t="inlineStr">
        <is>
          <t>05 Tesouraria e conciliação</t>
        </is>
      </c>
      <c r="C59" s="11" t="inlineStr">
        <is>
          <t>Implementar conciliação por evidência e unicidade</t>
        </is>
      </c>
      <c r="D59" s="11" t="inlineStr">
        <is>
          <t>Desenvolvimento</t>
        </is>
      </c>
      <c r="E59" s="12" t="inlineStr">
        <is>
          <t>Não iniciada</t>
        </is>
      </c>
      <c r="F59" s="30" t="n">
        <v>1</v>
      </c>
      <c r="G59" s="32">
        <f>IF(AND(E59="Concluída",H59&lt;&gt;""),1,0)</f>
        <v>0</v>
      </c>
      <c r="H59" s="12" t="inlineStr"/>
      <c r="I59" s="11" t="inlineStr">
        <is>
          <t>Engenharia</t>
        </is>
      </c>
      <c r="J59" s="11" t="inlineStr">
        <is>
          <t>BK-046, BK-047, BK-045, BK-036</t>
        </is>
      </c>
      <c r="K59" s="11" t="inlineStr">
        <is>
          <t>Q-19,R-10,HT-08,F-19,F-20</t>
        </is>
      </c>
      <c r="L59" s="11" t="inlineStr">
        <is>
          <t>M-008; T03/T05; Consolidação 13/09/2026, §10; pendência 8; Fechamento vigente 13/09/2026, §8.6–8.8,8.11</t>
        </is>
      </c>
      <c r="M59" s="11">
        <f>F59*G59</f>
        <v>0</v>
      </c>
    </row>
    <row r="60" ht="72" customHeight="1">
      <c r="A60" s="10" t="inlineStr">
        <is>
          <t>BK-054</t>
        </is>
      </c>
      <c r="B60" s="10" t="inlineStr">
        <is>
          <t>05 Tesouraria e conciliação</t>
        </is>
      </c>
      <c r="C60" s="10" t="inlineStr">
        <is>
          <t>Implementar revisão, confirmação e desfazimento de conciliação</t>
        </is>
      </c>
      <c r="D60" s="10" t="inlineStr">
        <is>
          <t>Desenvolvimento</t>
        </is>
      </c>
      <c r="E60" s="12" t="inlineStr">
        <is>
          <t>Não iniciada</t>
        </is>
      </c>
      <c r="F60" s="30" t="n">
        <v>1</v>
      </c>
      <c r="G60" s="31">
        <f>IF(AND(E60="Concluída",H60&lt;&gt;""),1,0)</f>
        <v>0</v>
      </c>
      <c r="H60" s="12" t="inlineStr"/>
      <c r="I60" s="10" t="inlineStr">
        <is>
          <t>Engenharia</t>
        </is>
      </c>
      <c r="J60" s="10" t="inlineStr">
        <is>
          <t>BK-053, BK-034, BK-012</t>
        </is>
      </c>
      <c r="K60" s="10" t="inlineStr">
        <is>
          <t>F-19,F-20</t>
        </is>
      </c>
      <c r="L60" s="10" t="inlineStr">
        <is>
          <t>L-23; T05/T13; Fechamento vigente 13/09/2026, §8.11</t>
        </is>
      </c>
      <c r="M60" s="10">
        <f>F60*G60</f>
        <v>0</v>
      </c>
    </row>
    <row r="61" ht="72" customHeight="1">
      <c r="A61" s="11" t="inlineStr">
        <is>
          <t>BK-055</t>
        </is>
      </c>
      <c r="B61" s="11" t="inlineStr">
        <is>
          <t>05 Tesouraria e conciliação</t>
        </is>
      </c>
      <c r="C61" s="11" t="inlineStr">
        <is>
          <t>Implementar T05 Conciliação</t>
        </is>
      </c>
      <c r="D61" s="11" t="inlineStr">
        <is>
          <t>Desenvolvimento</t>
        </is>
      </c>
      <c r="E61" s="12" t="inlineStr">
        <is>
          <t>Não iniciada</t>
        </is>
      </c>
      <c r="F61" s="30" t="n">
        <v>1</v>
      </c>
      <c r="G61" s="32">
        <f>IF(AND(E61="Concluída",H61&lt;&gt;""),1,0)</f>
        <v>0</v>
      </c>
      <c r="H61" s="12" t="inlineStr"/>
      <c r="I61" s="11" t="inlineStr">
        <is>
          <t>Engenharia</t>
        </is>
      </c>
      <c r="J61" s="11" t="inlineStr">
        <is>
          <t>BK-054, BK-028</t>
        </is>
      </c>
      <c r="K61" s="11" t="inlineStr"/>
      <c r="L61" s="11" t="inlineStr">
        <is>
          <t>T05; T-RECON-*</t>
        </is>
      </c>
      <c r="M61" s="11">
        <f>F61*G61</f>
        <v>0</v>
      </c>
    </row>
    <row r="62" ht="72" customHeight="1">
      <c r="A62" s="10" t="inlineStr">
        <is>
          <t>BK-056</t>
        </is>
      </c>
      <c r="B62" s="10" t="inlineStr">
        <is>
          <t>05 Tesouraria e conciliação</t>
        </is>
      </c>
      <c r="C62" s="10" t="inlineStr">
        <is>
          <t>Implementar regras e leitura de Contas a Receber</t>
        </is>
      </c>
      <c r="D62" s="10" t="inlineStr">
        <is>
          <t>Desenvolvimento</t>
        </is>
      </c>
      <c r="E62" s="12" t="inlineStr">
        <is>
          <t>Não iniciada</t>
        </is>
      </c>
      <c r="F62" s="30" t="n">
        <v>1</v>
      </c>
      <c r="G62" s="31">
        <f>IF(AND(E62="Concluída",H62&lt;&gt;""),1,0)</f>
        <v>0</v>
      </c>
      <c r="H62" s="12" t="inlineStr"/>
      <c r="I62" s="10" t="inlineStr">
        <is>
          <t>Engenharia</t>
        </is>
      </c>
      <c r="J62" s="10" t="inlineStr">
        <is>
          <t>BK-046, BK-053, BK-020</t>
        </is>
      </c>
      <c r="K62" s="10" t="inlineStr">
        <is>
          <t>Q-20,F-19,F-20</t>
        </is>
      </c>
      <c r="L62" s="10" t="inlineStr">
        <is>
          <t>T03; M-004,M-005; Consolidação 13/09/2026, §10; Fechamento vigente 13/09/2026, §8.5–8.11</t>
        </is>
      </c>
      <c r="M62" s="10">
        <f>F62*G62</f>
        <v>0</v>
      </c>
    </row>
    <row r="63" ht="72" customHeight="1">
      <c r="A63" s="11" t="inlineStr">
        <is>
          <t>BK-057</t>
        </is>
      </c>
      <c r="B63" s="11" t="inlineStr">
        <is>
          <t>05 Tesouraria e conciliação</t>
        </is>
      </c>
      <c r="C63" s="11" t="inlineStr">
        <is>
          <t>Implementar T03 Contas a Receber</t>
        </is>
      </c>
      <c r="D63" s="11" t="inlineStr">
        <is>
          <t>Desenvolvimento</t>
        </is>
      </c>
      <c r="E63" s="12" t="inlineStr">
        <is>
          <t>Não iniciada</t>
        </is>
      </c>
      <c r="F63" s="30" t="n">
        <v>1</v>
      </c>
      <c r="G63" s="32">
        <f>IF(AND(E63="Concluída",H63&lt;&gt;""),1,0)</f>
        <v>0</v>
      </c>
      <c r="H63" s="12" t="inlineStr"/>
      <c r="I63" s="11" t="inlineStr">
        <is>
          <t>Engenharia</t>
        </is>
      </c>
      <c r="J63" s="11" t="inlineStr">
        <is>
          <t>BK-056, BK-055</t>
        </is>
      </c>
      <c r="K63" s="11" t="inlineStr"/>
      <c r="L63" s="11" t="inlineStr">
        <is>
          <t>T03</t>
        </is>
      </c>
      <c r="M63" s="11">
        <f>F63*G63</f>
        <v>0</v>
      </c>
    </row>
    <row r="64" ht="72" customHeight="1">
      <c r="A64" s="10" t="inlineStr">
        <is>
          <t>BK-058</t>
        </is>
      </c>
      <c r="B64" s="10" t="inlineStr">
        <is>
          <t>05 Tesouraria e conciliação</t>
        </is>
      </c>
      <c r="C64" s="10" t="inlineStr">
        <is>
          <t>Implementar regras de Contas a Pagar</t>
        </is>
      </c>
      <c r="D64" s="10" t="inlineStr">
        <is>
          <t>Desenvolvimento</t>
        </is>
      </c>
      <c r="E64" s="12" t="inlineStr">
        <is>
          <t>Não iniciada</t>
        </is>
      </c>
      <c r="F64" s="30" t="n">
        <v>1</v>
      </c>
      <c r="G64" s="31">
        <f>IF(AND(E64="Concluída",H64&lt;&gt;""),1,0)</f>
        <v>0</v>
      </c>
      <c r="H64" s="12" t="inlineStr"/>
      <c r="I64" s="10" t="inlineStr">
        <is>
          <t>Engenharia</t>
        </is>
      </c>
      <c r="J64" s="10" t="inlineStr">
        <is>
          <t>BK-047, BK-005, BK-053</t>
        </is>
      </c>
      <c r="K64" s="10" t="inlineStr"/>
      <c r="L64" s="10" t="inlineStr">
        <is>
          <t>T04; C-01</t>
        </is>
      </c>
      <c r="M64" s="10">
        <f>F64*G64</f>
        <v>0</v>
      </c>
    </row>
    <row r="65" ht="72" customHeight="1">
      <c r="A65" s="11" t="inlineStr">
        <is>
          <t>BK-059</t>
        </is>
      </c>
      <c r="B65" s="11" t="inlineStr">
        <is>
          <t>05 Tesouraria e conciliação</t>
        </is>
      </c>
      <c r="C65" s="11" t="inlineStr">
        <is>
          <t>Implementar T04 Contas a Pagar</t>
        </is>
      </c>
      <c r="D65" s="11" t="inlineStr">
        <is>
          <t>Desenvolvimento</t>
        </is>
      </c>
      <c r="E65" s="12" t="inlineStr">
        <is>
          <t>Não iniciada</t>
        </is>
      </c>
      <c r="F65" s="30" t="n">
        <v>1</v>
      </c>
      <c r="G65" s="32">
        <f>IF(AND(E65="Concluída",H65&lt;&gt;""),1,0)</f>
        <v>0</v>
      </c>
      <c r="H65" s="12" t="inlineStr"/>
      <c r="I65" s="11" t="inlineStr">
        <is>
          <t>Engenharia</t>
        </is>
      </c>
      <c r="J65" s="11" t="inlineStr">
        <is>
          <t>BK-058, BK-028</t>
        </is>
      </c>
      <c r="K65" s="11" t="inlineStr"/>
      <c r="L65" s="11" t="inlineStr">
        <is>
          <t>T04</t>
        </is>
      </c>
      <c r="M65" s="11">
        <f>F65*G65</f>
        <v>0</v>
      </c>
    </row>
    <row r="66" ht="72" customHeight="1">
      <c r="A66" s="10" t="inlineStr">
        <is>
          <t>BK-060</t>
        </is>
      </c>
      <c r="B66" s="10" t="inlineStr">
        <is>
          <t>05 Tesouraria e conciliação</t>
        </is>
      </c>
      <c r="C66" s="10" t="inlineStr">
        <is>
          <t>Implementar fluxo de caixa realizado, previsto e projetado</t>
        </is>
      </c>
      <c r="D66" s="10" t="inlineStr">
        <is>
          <t>Desenvolvimento</t>
        </is>
      </c>
      <c r="E66" s="12" t="inlineStr">
        <is>
          <t>Não iniciada</t>
        </is>
      </c>
      <c r="F66" s="30" t="n">
        <v>1</v>
      </c>
      <c r="G66" s="31">
        <f>IF(AND(E66="Concluída",H66&lt;&gt;""),1,0)</f>
        <v>0</v>
      </c>
      <c r="H66" s="12" t="inlineStr"/>
      <c r="I66" s="10" t="inlineStr">
        <is>
          <t>Engenharia</t>
        </is>
      </c>
      <c r="J66" s="10" t="inlineStr">
        <is>
          <t>BK-056, BK-058, BK-020, BK-006, BK-047</t>
        </is>
      </c>
      <c r="K66" s="10" t="inlineStr">
        <is>
          <t>Q-21,R-08,R-09,F-18,F-19</t>
        </is>
      </c>
      <c r="L66" s="10" t="inlineStr">
        <is>
          <t>T02; M-002; C-02; L-07; Consolidação 13/09/2026, §§8–10; Fechamento vigente 13/09/2026, §§1,8.5–8.11</t>
        </is>
      </c>
      <c r="M66" s="10">
        <f>F66*G66</f>
        <v>0</v>
      </c>
    </row>
    <row r="67" ht="72" customHeight="1">
      <c r="A67" s="11" t="inlineStr">
        <is>
          <t>BK-061</t>
        </is>
      </c>
      <c r="B67" s="11" t="inlineStr">
        <is>
          <t>05 Tesouraria e conciliação</t>
        </is>
      </c>
      <c r="C67" s="11" t="inlineStr">
        <is>
          <t>Implementar seleção e memória da semana crítica</t>
        </is>
      </c>
      <c r="D67" s="11" t="inlineStr">
        <is>
          <t>Desenvolvimento</t>
        </is>
      </c>
      <c r="E67" s="12" t="inlineStr">
        <is>
          <t>Não iniciada</t>
        </is>
      </c>
      <c r="F67" s="30" t="n">
        <v>1</v>
      </c>
      <c r="G67" s="32">
        <f>IF(AND(E67="Concluída",H67&lt;&gt;""),1,0)</f>
        <v>0</v>
      </c>
      <c r="H67" s="12" t="inlineStr"/>
      <c r="I67" s="11" t="inlineStr">
        <is>
          <t>Engenharia</t>
        </is>
      </c>
      <c r="J67" s="11" t="inlineStr">
        <is>
          <t>BK-060, BK-006</t>
        </is>
      </c>
      <c r="K67" s="11" t="inlineStr">
        <is>
          <t>F-01</t>
        </is>
      </c>
      <c r="L67" s="11" t="inlineStr">
        <is>
          <t>T02/T08; C-02,L-07; Fechamento vigente 13/09/2026, §1</t>
        </is>
      </c>
      <c r="M67" s="11">
        <f>F67*G67</f>
        <v>0</v>
      </c>
    </row>
    <row r="68" ht="72" customHeight="1">
      <c r="A68" s="10" t="inlineStr">
        <is>
          <t>BK-062</t>
        </is>
      </c>
      <c r="B68" s="10" t="inlineStr">
        <is>
          <t>05 Tesouraria e conciliação</t>
        </is>
      </c>
      <c r="C68" s="10" t="inlineStr">
        <is>
          <t>Implementar T02 Fluxo de Caixa</t>
        </is>
      </c>
      <c r="D68" s="10" t="inlineStr">
        <is>
          <t>Desenvolvimento</t>
        </is>
      </c>
      <c r="E68" s="12" t="inlineStr">
        <is>
          <t>Não iniciada</t>
        </is>
      </c>
      <c r="F68" s="30" t="n">
        <v>1</v>
      </c>
      <c r="G68" s="31">
        <f>IF(AND(E68="Concluída",H68&lt;&gt;""),1,0)</f>
        <v>0</v>
      </c>
      <c r="H68" s="12" t="inlineStr"/>
      <c r="I68" s="10" t="inlineStr">
        <is>
          <t>Engenharia</t>
        </is>
      </c>
      <c r="J68" s="10" t="inlineStr">
        <is>
          <t>BK-061, BK-028, BK-012</t>
        </is>
      </c>
      <c r="K68" s="10" t="inlineStr"/>
      <c r="L68" s="10" t="inlineStr">
        <is>
          <t>T02; Consolidação 13/09/2026, §§8–10</t>
        </is>
      </c>
      <c r="M68" s="10">
        <f>F68*G68</f>
        <v>0</v>
      </c>
    </row>
    <row r="69" ht="72" customHeight="1">
      <c r="A69" s="11" t="inlineStr">
        <is>
          <t>BK-063</t>
        </is>
      </c>
      <c r="B69" s="11" t="inlineStr">
        <is>
          <t>06 Resultados, perdas e aplicações</t>
        </is>
      </c>
      <c r="C69" s="11" t="inlineStr">
        <is>
          <t>Preservar o custo Bling válido para cada venda</t>
        </is>
      </c>
      <c r="D69" s="11" t="inlineStr">
        <is>
          <t>Desenvolvimento</t>
        </is>
      </c>
      <c r="E69" s="12" t="inlineStr">
        <is>
          <t>Não iniciada</t>
        </is>
      </c>
      <c r="F69" s="30" t="n">
        <v>1</v>
      </c>
      <c r="G69" s="32">
        <f>IF(AND(E69="Concluída",H69&lt;&gt;""),1,0)</f>
        <v>0</v>
      </c>
      <c r="H69" s="12" t="inlineStr"/>
      <c r="I69" s="11" t="inlineStr">
        <is>
          <t>Engenharia</t>
        </is>
      </c>
      <c r="J69" s="11" t="inlineStr">
        <is>
          <t>BK-045, BK-007, BK-038</t>
        </is>
      </c>
      <c r="K69" s="11" t="inlineStr">
        <is>
          <t>HT-05</t>
        </is>
      </c>
      <c r="L69" s="11" t="inlineStr">
        <is>
          <t>M-019,M-020; L-03; Consolidação 13/09/2026, pendência 5</t>
        </is>
      </c>
      <c r="M69" s="11">
        <f>F69*G69</f>
        <v>0</v>
      </c>
    </row>
    <row r="70" ht="72" customHeight="1">
      <c r="A70" s="10" t="inlineStr">
        <is>
          <t>BK-064</t>
        </is>
      </c>
      <c r="B70" s="10" t="inlineStr">
        <is>
          <t>06 Resultados, perdas e aplicações</t>
        </is>
      </c>
      <c r="C70" s="10" t="inlineStr">
        <is>
          <t>Preservar contas, classificações e competência do Bling</t>
        </is>
      </c>
      <c r="D70" s="10" t="inlineStr">
        <is>
          <t>Desenvolvimento</t>
        </is>
      </c>
      <c r="E70" s="12" t="inlineStr">
        <is>
          <t>Não iniciada</t>
        </is>
      </c>
      <c r="F70" s="30" t="n">
        <v>1</v>
      </c>
      <c r="G70" s="31">
        <f>IF(AND(E70="Concluída",H70&lt;&gt;""),1,0)</f>
        <v>0</v>
      </c>
      <c r="H70" s="12" t="inlineStr"/>
      <c r="I70" s="10" t="inlineStr">
        <is>
          <t>Engenharia</t>
        </is>
      </c>
      <c r="J70" s="10" t="inlineStr">
        <is>
          <t>BK-041, BK-007, BK-038</t>
        </is>
      </c>
      <c r="K70" s="10" t="inlineStr">
        <is>
          <t>R-05,R-12,HT-06,F-02</t>
        </is>
      </c>
      <c r="L70" s="10" t="inlineStr">
        <is>
          <t>M-017,M-018,M-029; H_Contrato_Dados!A18:H18; Consolidação 13/09/2026, pendência 6; §12; Fechamento vigente 13/09/2026, §2</t>
        </is>
      </c>
      <c r="M70" s="10">
        <f>F70*G70</f>
        <v>0</v>
      </c>
    </row>
    <row r="71" ht="72" customHeight="1">
      <c r="A71" s="11" t="inlineStr">
        <is>
          <t>BK-065</t>
        </is>
      </c>
      <c r="B71" s="11" t="inlineStr">
        <is>
          <t>06 Resultados, perdas e aplicações</t>
        </is>
      </c>
      <c r="C71" s="11" t="inlineStr">
        <is>
          <t>Implementar perdas e recuperações sem dupla contagem</t>
        </is>
      </c>
      <c r="D71" s="11" t="inlineStr">
        <is>
          <t>Desenvolvimento</t>
        </is>
      </c>
      <c r="E71" s="12" t="inlineStr">
        <is>
          <t>Não iniciada</t>
        </is>
      </c>
      <c r="F71" s="30" t="n">
        <v>1</v>
      </c>
      <c r="G71" s="32">
        <f>IF(AND(E71="Concluída",H71&lt;&gt;""),1,0)</f>
        <v>0</v>
      </c>
      <c r="H71" s="12" t="inlineStr"/>
      <c r="I71" s="11" t="inlineStr">
        <is>
          <t>Engenharia</t>
        </is>
      </c>
      <c r="J71" s="11" t="inlineStr">
        <is>
          <t>BK-050, BK-064</t>
        </is>
      </c>
      <c r="K71" s="11" t="inlineStr">
        <is>
          <t>R-11,F-18</t>
        </is>
      </c>
      <c r="L71" s="11" t="inlineStr">
        <is>
          <t>M-024..M-026; L-04,L-14; Consolidação 13/09/2026, §11; Fechamento vigente 13/09/2026, §§2,8.14</t>
        </is>
      </c>
      <c r="M71" s="11">
        <f>F71*G71</f>
        <v>0</v>
      </c>
    </row>
    <row r="72" ht="72" customHeight="1">
      <c r="A72" s="10" t="inlineStr">
        <is>
          <t>BK-066</t>
        </is>
      </c>
      <c r="B72" s="10" t="inlineStr">
        <is>
          <t>06 Resultados, perdas e aplicações</t>
        </is>
      </c>
      <c r="C72" s="10" t="inlineStr">
        <is>
          <t>Calcular e conferir a DRE própria por competência</t>
        </is>
      </c>
      <c r="D72" s="10" t="inlineStr">
        <is>
          <t>Desenvolvimento</t>
        </is>
      </c>
      <c r="E72" s="12" t="inlineStr">
        <is>
          <t>Não iniciada</t>
        </is>
      </c>
      <c r="F72" s="30" t="n">
        <v>1</v>
      </c>
      <c r="G72" s="31">
        <f>IF(AND(E72="Concluída",H72&lt;&gt;""),1,0)</f>
        <v>0</v>
      </c>
      <c r="H72" s="12" t="inlineStr"/>
      <c r="I72" s="10" t="inlineStr">
        <is>
          <t>Engenharia</t>
        </is>
      </c>
      <c r="J72" s="10" t="inlineStr">
        <is>
          <t>BK-041, BK-064, BK-038, BK-020</t>
        </is>
      </c>
      <c r="K72" s="10" t="inlineStr">
        <is>
          <t>HT-06,F-02</t>
        </is>
      </c>
      <c r="L72" s="10" t="inlineStr">
        <is>
          <t>T06; M-017..M-029; Fechamento vigente 13/09/2026, §2</t>
        </is>
      </c>
      <c r="M72" s="10">
        <f>F72*G72</f>
        <v>0</v>
      </c>
    </row>
    <row r="73" ht="72" customHeight="1">
      <c r="A73" s="11" t="inlineStr">
        <is>
          <t>BK-067</t>
        </is>
      </c>
      <c r="B73" s="11" t="inlineStr">
        <is>
          <t>06 Resultados, perdas e aplicações</t>
        </is>
      </c>
      <c r="C73" s="11" t="inlineStr">
        <is>
          <t>Implementar T06 DRE</t>
        </is>
      </c>
      <c r="D73" s="11" t="inlineStr">
        <is>
          <t>Desenvolvimento</t>
        </is>
      </c>
      <c r="E73" s="12" t="inlineStr">
        <is>
          <t>Não iniciada</t>
        </is>
      </c>
      <c r="F73" s="30" t="n">
        <v>1</v>
      </c>
      <c r="G73" s="32">
        <f>IF(AND(E73="Concluída",H73&lt;&gt;""),1,0)</f>
        <v>0</v>
      </c>
      <c r="H73" s="12" t="inlineStr"/>
      <c r="I73" s="11" t="inlineStr">
        <is>
          <t>Engenharia</t>
        </is>
      </c>
      <c r="J73" s="11" t="inlineStr">
        <is>
          <t>BK-066, BK-028, BK-021</t>
        </is>
      </c>
      <c r="K73" s="11" t="inlineStr">
        <is>
          <t>Q-22,F-02</t>
        </is>
      </c>
      <c r="L73" s="11" t="inlineStr">
        <is>
          <t>T06; Fechamento vigente 13/09/2026, §§2,5</t>
        </is>
      </c>
      <c r="M73" s="11">
        <f>F73*G73</f>
        <v>0</v>
      </c>
    </row>
    <row r="74" ht="72" customHeight="1">
      <c r="A74" s="10" t="inlineStr">
        <is>
          <t>BK-068</t>
        </is>
      </c>
      <c r="B74" s="10" t="inlineStr">
        <is>
          <t>06 Resultados, perdas e aplicações</t>
        </is>
      </c>
      <c r="C74" s="10" t="inlineStr">
        <is>
          <t>Reproduzir o balancete a partir da base do Bling</t>
        </is>
      </c>
      <c r="D74" s="10" t="inlineStr">
        <is>
          <t>Desenvolvimento</t>
        </is>
      </c>
      <c r="E74" s="12" t="inlineStr">
        <is>
          <t>Não iniciada</t>
        </is>
      </c>
      <c r="F74" s="30" t="n">
        <v>1</v>
      </c>
      <c r="G74" s="31">
        <f>IF(AND(E74="Concluída",H74&lt;&gt;""),1,0)</f>
        <v>0</v>
      </c>
      <c r="H74" s="12" t="inlineStr"/>
      <c r="I74" s="10" t="inlineStr">
        <is>
          <t>Engenharia</t>
        </is>
      </c>
      <c r="J74" s="10" t="inlineStr">
        <is>
          <t>BK-041, BK-064, BK-038, BK-020</t>
        </is>
      </c>
      <c r="K74" s="10" t="inlineStr">
        <is>
          <t>HT-04,F-03</t>
        </is>
      </c>
      <c r="L74" s="10" t="inlineStr">
        <is>
          <t>T07; M-027,M-028; L-08; Consolidação 13/09/2026, pendência 4; Fechamento vigente 13/09/2026, §2</t>
        </is>
      </c>
      <c r="M74" s="10">
        <f>F74*G74</f>
        <v>0</v>
      </c>
    </row>
    <row r="75" ht="72" customHeight="1">
      <c r="A75" s="11" t="inlineStr">
        <is>
          <t>BK-069</t>
        </is>
      </c>
      <c r="B75" s="11" t="inlineStr">
        <is>
          <t>06 Resultados, perdas e aplicações</t>
        </is>
      </c>
      <c r="C75" s="11" t="inlineStr">
        <is>
          <t>Implementar T07 Balancete</t>
        </is>
      </c>
      <c r="D75" s="11" t="inlineStr">
        <is>
          <t>Desenvolvimento</t>
        </is>
      </c>
      <c r="E75" s="12" t="inlineStr">
        <is>
          <t>Não iniciada</t>
        </is>
      </c>
      <c r="F75" s="30" t="n">
        <v>1</v>
      </c>
      <c r="G75" s="32">
        <f>IF(AND(E75="Concluída",H75&lt;&gt;""),1,0)</f>
        <v>0</v>
      </c>
      <c r="H75" s="12" t="inlineStr"/>
      <c r="I75" s="11" t="inlineStr">
        <is>
          <t>Engenharia</t>
        </is>
      </c>
      <c r="J75" s="11" t="inlineStr">
        <is>
          <t>BK-068, BK-028</t>
        </is>
      </c>
      <c r="K75" s="11" t="inlineStr">
        <is>
          <t>Q-23,F-03</t>
        </is>
      </c>
      <c r="L75" s="11" t="inlineStr">
        <is>
          <t>T07; Fechamento vigente 13/09/2026, §2</t>
        </is>
      </c>
      <c r="M75" s="11">
        <f>F75*G75</f>
        <v>0</v>
      </c>
    </row>
    <row r="76" ht="72" customHeight="1">
      <c r="A76" s="10" t="inlineStr">
        <is>
          <t>BK-070</t>
        </is>
      </c>
      <c r="B76" s="10" t="inlineStr">
        <is>
          <t>06 Resultados, perdas e aplicações</t>
        </is>
      </c>
      <c r="C76" s="10" t="inlineStr">
        <is>
          <t>Definir e implementar PMR, PMP, PME e ciclo financeiro</t>
        </is>
      </c>
      <c r="D76" s="10" t="inlineStr">
        <is>
          <t>Desenvolvimento</t>
        </is>
      </c>
      <c r="E76" s="12" t="inlineStr">
        <is>
          <t>Não iniciada</t>
        </is>
      </c>
      <c r="F76" s="30" t="n">
        <v>1</v>
      </c>
      <c r="G76" s="31">
        <f>IF(AND(E76="Concluída",H76&lt;&gt;""),1,0)</f>
        <v>0</v>
      </c>
      <c r="H76" s="12" t="inlineStr"/>
      <c r="I76" s="10" t="inlineStr">
        <is>
          <t>Financeiro + Backend</t>
        </is>
      </c>
      <c r="J76" s="10" t="inlineStr">
        <is>
          <t>BK-056, BK-058, BK-077, BK-066</t>
        </is>
      </c>
      <c r="K76" s="10" t="inlineStr">
        <is>
          <t>Q-27</t>
        </is>
      </c>
      <c r="L76" s="10" t="inlineStr">
        <is>
          <t>T08 indicadores PMR/PMP/PME e ciclo; B_Intersecoes!A12:I12</t>
        </is>
      </c>
      <c r="M76" s="10">
        <f>F76*G76</f>
        <v>0</v>
      </c>
    </row>
    <row r="77" ht="72" customHeight="1">
      <c r="A77" s="11" t="inlineStr">
        <is>
          <t>BK-071</t>
        </is>
      </c>
      <c r="B77" s="11" t="inlineStr">
        <is>
          <t>06 Resultados, perdas e aplicações</t>
        </is>
      </c>
      <c r="C77" s="11" t="inlineStr">
        <is>
          <t>Implementar movimentos de investimentos e posição comprovada no Bling</t>
        </is>
      </c>
      <c r="D77" s="11" t="inlineStr">
        <is>
          <t>Desenvolvimento</t>
        </is>
      </c>
      <c r="E77" s="12" t="inlineStr">
        <is>
          <t>Não iniciada</t>
        </is>
      </c>
      <c r="F77" s="30" t="n">
        <v>1</v>
      </c>
      <c r="G77" s="32">
        <f>IF(AND(E77="Concluída",H77&lt;&gt;""),1,0)</f>
        <v>0</v>
      </c>
      <c r="H77" s="12" t="inlineStr"/>
      <c r="I77" s="11" t="inlineStr">
        <is>
          <t>Engenharia</t>
        </is>
      </c>
      <c r="J77" s="11" t="inlineStr">
        <is>
          <t>BK-041, BK-044, BK-006, BK-064, BK-047</t>
        </is>
      </c>
      <c r="K77" s="11" t="inlineStr">
        <is>
          <t>Q-10,R-04,R-05,R-06,R-07,HT-01,HT-02</t>
        </is>
      </c>
      <c r="L77" s="11" t="inlineStr">
        <is>
          <t>M-030..M-034; T08; Consolidação 13/09/2026, §§4–7; Fechamento vigente 13/09/2026, §2</t>
        </is>
      </c>
      <c r="M77" s="11">
        <f>F77*G77</f>
        <v>0</v>
      </c>
    </row>
    <row r="78" ht="72" customHeight="1">
      <c r="A78" s="10" t="inlineStr">
        <is>
          <t>BK-072</t>
        </is>
      </c>
      <c r="B78" s="10" t="inlineStr">
        <is>
          <t>06 Resultados, perdas e aplicações</t>
        </is>
      </c>
      <c r="C78" s="10" t="inlineStr">
        <is>
          <t>Implementar o cálculo de capacidade de aplicação</t>
        </is>
      </c>
      <c r="D78" s="10" t="inlineStr">
        <is>
          <t>Desenvolvimento</t>
        </is>
      </c>
      <c r="E78" s="12" t="inlineStr">
        <is>
          <t>Não iniciada</t>
        </is>
      </c>
      <c r="F78" s="30" t="n">
        <v>1</v>
      </c>
      <c r="G78" s="31">
        <f>IF(AND(E78="Concluída",H78&lt;&gt;""),1,0)</f>
        <v>0</v>
      </c>
      <c r="H78" s="12" t="inlineStr"/>
      <c r="I78" s="10" t="inlineStr">
        <is>
          <t>Engenharia</t>
        </is>
      </c>
      <c r="J78" s="10" t="inlineStr">
        <is>
          <t>BK-071, BK-061, BK-066, BK-006</t>
        </is>
      </c>
      <c r="K78" s="10" t="inlineStr">
        <is>
          <t>R-06,R-08,R-09,HT-01,F-01</t>
        </is>
      </c>
      <c r="L78" s="10" t="inlineStr">
        <is>
          <t>T08; M-034; C-02,C-03,L-07; Consolidação 13/09/2026, §§6–9; Fechamento vigente 13/09/2026, §§1–2</t>
        </is>
      </c>
      <c r="M78" s="10">
        <f>F78*G78</f>
        <v>0</v>
      </c>
    </row>
    <row r="79" ht="72" customHeight="1">
      <c r="A79" s="11" t="inlineStr">
        <is>
          <t>BK-073</t>
        </is>
      </c>
      <c r="B79" s="11" t="inlineStr">
        <is>
          <t>06 Resultados, perdas e aplicações</t>
        </is>
      </c>
      <c r="C79" s="11" t="inlineStr">
        <is>
          <t>Implementar T08 Calculadora de Aplicação</t>
        </is>
      </c>
      <c r="D79" s="11" t="inlineStr">
        <is>
          <t>Desenvolvimento</t>
        </is>
      </c>
      <c r="E79" s="12" t="inlineStr">
        <is>
          <t>Não iniciada</t>
        </is>
      </c>
      <c r="F79" s="30" t="n">
        <v>1</v>
      </c>
      <c r="G79" s="32">
        <f>IF(AND(E79="Concluída",H79&lt;&gt;""),1,0)</f>
        <v>0</v>
      </c>
      <c r="H79" s="12" t="inlineStr"/>
      <c r="I79" s="11" t="inlineStr">
        <is>
          <t>Engenharia</t>
        </is>
      </c>
      <c r="J79" s="11" t="inlineStr">
        <is>
          <t>BK-072, BK-028, BK-012, BK-070</t>
        </is>
      </c>
      <c r="K79" s="11" t="inlineStr">
        <is>
          <t>R-07</t>
        </is>
      </c>
      <c r="L79" s="11" t="inlineStr">
        <is>
          <t>T08; T16 regra Tela 08 não exporta; Consolidação 13/09/2026, §§6–9</t>
        </is>
      </c>
      <c r="M79" s="11">
        <f>F79*G79</f>
        <v>0</v>
      </c>
    </row>
    <row r="80" ht="72" customHeight="1">
      <c r="A80" s="10" t="inlineStr">
        <is>
          <t>BK-074</t>
        </is>
      </c>
      <c r="B80" s="10" t="inlineStr">
        <is>
          <t>06 Resultados, perdas e aplicações</t>
        </is>
      </c>
      <c r="C80" s="10" t="inlineStr">
        <is>
          <t>Implementar a consulta de Aplicações</t>
        </is>
      </c>
      <c r="D80" s="10" t="inlineStr">
        <is>
          <t>Desenvolvimento</t>
        </is>
      </c>
      <c r="E80" s="12" t="inlineStr">
        <is>
          <t>Não iniciada</t>
        </is>
      </c>
      <c r="F80" s="30" t="n">
        <v>1</v>
      </c>
      <c r="G80" s="31">
        <f>IF(AND(E80="Concluída",H80&lt;&gt;""),1,0)</f>
        <v>0</v>
      </c>
      <c r="H80" s="12" t="inlineStr"/>
      <c r="I80" s="10" t="inlineStr">
        <is>
          <t>Engenharia</t>
        </is>
      </c>
      <c r="J80" s="10" t="inlineStr">
        <is>
          <t>BK-004, BK-071, BK-021</t>
        </is>
      </c>
      <c r="K80" s="10" t="inlineStr">
        <is>
          <t>Q-02,R-04,R-07,HT-02</t>
        </is>
      </c>
      <c r="L80" s="10" t="inlineStr">
        <is>
          <t>Menus; T08 Ver aplicações; Consolidação 13/09/2026, §§4–7</t>
        </is>
      </c>
      <c r="M80" s="10">
        <f>F80*G80</f>
        <v>0</v>
      </c>
    </row>
    <row r="81" ht="72" customHeight="1">
      <c r="A81" s="11" t="inlineStr">
        <is>
          <t>BK-075</t>
        </is>
      </c>
      <c r="B81" s="11" t="inlineStr">
        <is>
          <t>06 Resultados, perdas e aplicações</t>
        </is>
      </c>
      <c r="C81" s="11" t="inlineStr">
        <is>
          <t>Implementar análise de preço e margem no local aprovado</t>
        </is>
      </c>
      <c r="D81" s="11" t="inlineStr">
        <is>
          <t>Desenvolvimento</t>
        </is>
      </c>
      <c r="E81" s="12" t="inlineStr">
        <is>
          <t>Não iniciada</t>
        </is>
      </c>
      <c r="F81" s="30" t="n">
        <v>1</v>
      </c>
      <c r="G81" s="32">
        <f>IF(AND(E81="Concluída",H81&lt;&gt;""),1,0)</f>
        <v>0</v>
      </c>
      <c r="H81" s="12" t="inlineStr"/>
      <c r="I81" s="11" t="inlineStr">
        <is>
          <t>Engenharia</t>
        </is>
      </c>
      <c r="J81" s="11" t="inlineStr">
        <is>
          <t>BK-004, BK-063, BK-064, BK-036</t>
        </is>
      </c>
      <c r="K81" s="11" t="inlineStr">
        <is>
          <t>L-06,L-10,F-06</t>
        </is>
      </c>
      <c r="L81" s="11" t="inlineStr">
        <is>
          <t>M-021..M-023; L-06,L-10; Fechamento vigente 13/09/2026, §3.3</t>
        </is>
      </c>
      <c r="M81" s="11">
        <f>F81*G81</f>
        <v>0</v>
      </c>
    </row>
    <row r="82" ht="72" customHeight="1">
      <c r="A82" s="10" t="inlineStr">
        <is>
          <t>BK-076</t>
        </is>
      </c>
      <c r="B82" s="10" t="inlineStr">
        <is>
          <t>06 Resultados, perdas e aplicações</t>
        </is>
      </c>
      <c r="C82" s="10" t="inlineStr">
        <is>
          <t>Implementar indicadores de logística no local aprovado</t>
        </is>
      </c>
      <c r="D82" s="10" t="inlineStr">
        <is>
          <t>Desenvolvimento</t>
        </is>
      </c>
      <c r="E82" s="12" t="inlineStr">
        <is>
          <t>Não iniciada</t>
        </is>
      </c>
      <c r="F82" s="30" t="n">
        <v>1</v>
      </c>
      <c r="G82" s="31">
        <f>IF(AND(E82="Concluída",H82&lt;&gt;""),1,0)</f>
        <v>0</v>
      </c>
      <c r="H82" s="12" t="inlineStr"/>
      <c r="I82" s="10" t="inlineStr">
        <is>
          <t>Engenharia</t>
        </is>
      </c>
      <c r="J82" s="10" t="inlineStr">
        <is>
          <t>BK-004, BK-049, BK-064</t>
        </is>
      </c>
      <c r="K82" s="10" t="inlineStr">
        <is>
          <t>L-16,R-12</t>
        </is>
      </c>
      <c r="L82" s="10" t="inlineStr">
        <is>
          <t>M-013..M-016; L-16; Consolidação 13/09/2026, §12</t>
        </is>
      </c>
      <c r="M82" s="10">
        <f>F82*G82</f>
        <v>0</v>
      </c>
    </row>
    <row r="83" ht="72" customHeight="1">
      <c r="A83" s="11" t="inlineStr">
        <is>
          <t>BK-077</t>
        </is>
      </c>
      <c r="B83" s="11" t="inlineStr">
        <is>
          <t>07 Estoque, produção e compras</t>
        </is>
      </c>
      <c r="C83" s="11" t="inlineStr">
        <is>
          <t>Implementar classificação e posição de estoque</t>
        </is>
      </c>
      <c r="D83" s="11" t="inlineStr">
        <is>
          <t>Desenvolvimento</t>
        </is>
      </c>
      <c r="E83" s="12" t="inlineStr">
        <is>
          <t>Não iniciada</t>
        </is>
      </c>
      <c r="F83" s="30" t="n">
        <v>1</v>
      </c>
      <c r="G83" s="32">
        <f>IF(AND(E83="Concluída",H83&lt;&gt;""),1,0)</f>
        <v>0</v>
      </c>
      <c r="H83" s="12" t="inlineStr"/>
      <c r="I83" s="11" t="inlineStr">
        <is>
          <t>Engenharia</t>
        </is>
      </c>
      <c r="J83" s="11" t="inlineStr">
        <is>
          <t>BK-048, BK-008, BK-020</t>
        </is>
      </c>
      <c r="K83" s="11" t="inlineStr">
        <is>
          <t>R-03,HT-03</t>
        </is>
      </c>
      <c r="L83" s="11" t="inlineStr">
        <is>
          <t>T09; Q_CEI_Tela_11; Consolidação 13/09/2026, §3; Fechamento vigente 13/09/2026, §3</t>
        </is>
      </c>
      <c r="M83" s="11">
        <f>F83*G83</f>
        <v>0</v>
      </c>
    </row>
    <row r="84" ht="72" customHeight="1">
      <c r="A84" s="10" t="inlineStr">
        <is>
          <t>BK-078</t>
        </is>
      </c>
      <c r="B84" s="10" t="inlineStr">
        <is>
          <t>07 Estoque, produção e compras</t>
        </is>
      </c>
      <c r="C84" s="10" t="inlineStr">
        <is>
          <t>Implementar T09 Estoque</t>
        </is>
      </c>
      <c r="D84" s="10" t="inlineStr">
        <is>
          <t>Desenvolvimento</t>
        </is>
      </c>
      <c r="E84" s="12" t="inlineStr">
        <is>
          <t>Não iniciada</t>
        </is>
      </c>
      <c r="F84" s="30" t="n">
        <v>1</v>
      </c>
      <c r="G84" s="31">
        <f>IF(AND(E84="Concluída",H84&lt;&gt;""),1,0)</f>
        <v>0</v>
      </c>
      <c r="H84" s="12" t="inlineStr"/>
      <c r="I84" s="10" t="inlineStr">
        <is>
          <t>Engenharia</t>
        </is>
      </c>
      <c r="J84" s="10" t="inlineStr">
        <is>
          <t>BK-077, BK-028</t>
        </is>
      </c>
      <c r="K84" s="10" t="inlineStr"/>
      <c r="L84" s="10" t="inlineStr">
        <is>
          <t>T09</t>
        </is>
      </c>
      <c r="M84" s="10">
        <f>F84*G84</f>
        <v>0</v>
      </c>
    </row>
    <row r="85" ht="72" customHeight="1">
      <c r="A85" s="11" t="inlineStr">
        <is>
          <t>BK-079</t>
        </is>
      </c>
      <c r="B85" s="11" t="inlineStr">
        <is>
          <t>07 Estoque, produção e compras</t>
        </is>
      </c>
      <c r="C85" s="11" t="inlineStr">
        <is>
          <t>Implementar metas de produção por SKU e período</t>
        </is>
      </c>
      <c r="D85" s="11" t="inlineStr">
        <is>
          <t>Desenvolvimento</t>
        </is>
      </c>
      <c r="E85" s="12" t="inlineStr">
        <is>
          <t>Não iniciada</t>
        </is>
      </c>
      <c r="F85" s="30" t="n">
        <v>1</v>
      </c>
      <c r="G85" s="32">
        <f>IF(AND(E85="Concluída",H85&lt;&gt;""),1,0)</f>
        <v>0</v>
      </c>
      <c r="H85" s="12" t="inlineStr"/>
      <c r="I85" s="11" t="inlineStr">
        <is>
          <t>Engenharia</t>
        </is>
      </c>
      <c r="J85" s="11" t="inlineStr">
        <is>
          <t>BK-008, BK-036, BK-034</t>
        </is>
      </c>
      <c r="K85" s="11" t="inlineStr">
        <is>
          <t>Q-08,Q-12,F-11,F-16</t>
        </is>
      </c>
      <c r="L85" s="11" t="inlineStr">
        <is>
          <t>T10; T16 Meta por SKU; Fechamento vigente 13/09/2026, §§4,6.4</t>
        </is>
      </c>
      <c r="M85" s="11">
        <f>F85*G85</f>
        <v>0</v>
      </c>
    </row>
    <row r="86" ht="72" customHeight="1">
      <c r="A86" s="10" t="inlineStr">
        <is>
          <t>BK-080</t>
        </is>
      </c>
      <c r="B86" s="10" t="inlineStr">
        <is>
          <t>07 Estoque, produção e compras</t>
        </is>
      </c>
      <c r="C86" s="10" t="inlineStr">
        <is>
          <t>Implementar indicadores de produção realizada</t>
        </is>
      </c>
      <c r="D86" s="10" t="inlineStr">
        <is>
          <t>Desenvolvimento</t>
        </is>
      </c>
      <c r="E86" s="12" t="inlineStr">
        <is>
          <t>Não iniciada</t>
        </is>
      </c>
      <c r="F86" s="30" t="n">
        <v>1</v>
      </c>
      <c r="G86" s="31">
        <f>IF(AND(E86="Concluída",H86&lt;&gt;""),1,0)</f>
        <v>0</v>
      </c>
      <c r="H86" s="12" t="inlineStr"/>
      <c r="I86" s="10" t="inlineStr">
        <is>
          <t>Engenharia</t>
        </is>
      </c>
      <c r="J86" s="10" t="inlineStr">
        <is>
          <t>BK-048, BK-079, BK-008</t>
        </is>
      </c>
      <c r="K86" s="10" t="inlineStr">
        <is>
          <t>F-08,F-09</t>
        </is>
      </c>
      <c r="L86" s="10" t="inlineStr">
        <is>
          <t>T10; T10 duplicata; Fechamento vigente 13/09/2026, §4.1–4.4</t>
        </is>
      </c>
      <c r="M86" s="10">
        <f>F86*G86</f>
        <v>0</v>
      </c>
    </row>
    <row r="87" ht="72" customHeight="1">
      <c r="A87" s="11" t="inlineStr">
        <is>
          <t>BK-081</t>
        </is>
      </c>
      <c r="B87" s="11" t="inlineStr">
        <is>
          <t>07 Estoque, produção e compras</t>
        </is>
      </c>
      <c r="C87" s="11" t="inlineStr">
        <is>
          <t>Implementar T10 Produção</t>
        </is>
      </c>
      <c r="D87" s="11" t="inlineStr">
        <is>
          <t>Desenvolvimento</t>
        </is>
      </c>
      <c r="E87" s="12" t="inlineStr">
        <is>
          <t>Não iniciada</t>
        </is>
      </c>
      <c r="F87" s="30" t="n">
        <v>1</v>
      </c>
      <c r="G87" s="32">
        <f>IF(AND(E87="Concluída",H87&lt;&gt;""),1,0)</f>
        <v>0</v>
      </c>
      <c r="H87" s="12" t="inlineStr"/>
      <c r="I87" s="11" t="inlineStr">
        <is>
          <t>Engenharia</t>
        </is>
      </c>
      <c r="J87" s="11" t="inlineStr">
        <is>
          <t>BK-080, BK-028</t>
        </is>
      </c>
      <c r="K87" s="11" t="inlineStr">
        <is>
          <t>F-08,F-09</t>
        </is>
      </c>
      <c r="L87" s="11" t="inlineStr">
        <is>
          <t>T10; M-052; Fechamento vigente 13/09/2026, §4.2–4.4</t>
        </is>
      </c>
      <c r="M87" s="11">
        <f>F87*G87</f>
        <v>0</v>
      </c>
    </row>
    <row r="88" ht="72" customHeight="1">
      <c r="A88" s="10" t="inlineStr">
        <is>
          <t>BK-082</t>
        </is>
      </c>
      <c r="B88" s="10" t="inlineStr">
        <is>
          <t>07 Estoque, produção e compras</t>
        </is>
      </c>
      <c r="C88" s="10" t="inlineStr">
        <is>
          <t>Avaliar necessidade e cobertura temporal das compras</t>
        </is>
      </c>
      <c r="D88" s="10" t="inlineStr">
        <is>
          <t>Desenvolvimento</t>
        </is>
      </c>
      <c r="E88" s="12" t="inlineStr">
        <is>
          <t>Não iniciada</t>
        </is>
      </c>
      <c r="F88" s="30" t="n">
        <v>1</v>
      </c>
      <c r="G88" s="31">
        <f>IF(AND(E88="Concluída",H88&lt;&gt;""),1,0)</f>
        <v>0</v>
      </c>
      <c r="H88" s="12" t="inlineStr"/>
      <c r="I88" s="10" t="inlineStr">
        <is>
          <t>Engenharia</t>
        </is>
      </c>
      <c r="J88" s="10" t="inlineStr">
        <is>
          <t>BK-077, BK-008, BK-094</t>
        </is>
      </c>
      <c r="K88" s="10" t="inlineStr">
        <is>
          <t>F-04</t>
        </is>
      </c>
      <c r="L88" s="10" t="inlineStr">
        <is>
          <t>M-042; Q_CEI_Tela_11; Fechamento vigente 13/09/2026, §3.1–3.2</t>
        </is>
      </c>
      <c r="M88" s="10">
        <f>F88*G88</f>
        <v>0</v>
      </c>
    </row>
    <row r="89" ht="72" customHeight="1">
      <c r="A89" s="11" t="inlineStr">
        <is>
          <t>BK-083</t>
        </is>
      </c>
      <c r="B89" s="11" t="inlineStr">
        <is>
          <t>07 Estoque, produção e compras</t>
        </is>
      </c>
      <c r="C89" s="11" t="inlineStr">
        <is>
          <t>Implementar preço faturado e prazo histórico de compras</t>
        </is>
      </c>
      <c r="D89" s="11" t="inlineStr">
        <is>
          <t>Desenvolvimento</t>
        </is>
      </c>
      <c r="E89" s="12" t="inlineStr">
        <is>
          <t>Não iniciada</t>
        </is>
      </c>
      <c r="F89" s="30" t="n">
        <v>1</v>
      </c>
      <c r="G89" s="32">
        <f>IF(AND(E89="Concluída",H89&lt;&gt;""),1,0)</f>
        <v>0</v>
      </c>
      <c r="H89" s="12" t="inlineStr"/>
      <c r="I89" s="11" t="inlineStr">
        <is>
          <t>Engenharia</t>
        </is>
      </c>
      <c r="J89" s="11" t="inlineStr">
        <is>
          <t>BK-048, BK-008</t>
        </is>
      </c>
      <c r="K89" s="11" t="inlineStr">
        <is>
          <t>F-05</t>
        </is>
      </c>
      <c r="L89" s="11" t="inlineStr">
        <is>
          <t>M-043; H_Contrato_Dados!A19:H20</t>
        </is>
      </c>
      <c r="M89" s="11">
        <f>F89*G89</f>
        <v>0</v>
      </c>
    </row>
    <row r="90" ht="72" customHeight="1">
      <c r="A90" s="10" t="inlineStr">
        <is>
          <t>BK-084</t>
        </is>
      </c>
      <c r="B90" s="10" t="inlineStr">
        <is>
          <t>07 Estoque, produção e compras</t>
        </is>
      </c>
      <c r="C90" s="10" t="inlineStr">
        <is>
          <t>Calcular necessidade líquida e prioridade operacional de compra</t>
        </is>
      </c>
      <c r="D90" s="10" t="inlineStr">
        <is>
          <t>Desenvolvimento</t>
        </is>
      </c>
      <c r="E90" s="12" t="inlineStr">
        <is>
          <t>Não iniciada</t>
        </is>
      </c>
      <c r="F90" s="30" t="n">
        <v>1</v>
      </c>
      <c r="G90" s="31">
        <f>IF(AND(E90="Concluída",H90&lt;&gt;""),1,0)</f>
        <v>0</v>
      </c>
      <c r="H90" s="12" t="inlineStr"/>
      <c r="I90" s="10" t="inlineStr">
        <is>
          <t>Engenharia</t>
        </is>
      </c>
      <c r="J90" s="10" t="inlineStr">
        <is>
          <t>BK-082, BK-083, BK-008</t>
        </is>
      </c>
      <c r="K90" s="10" t="inlineStr">
        <is>
          <t>F-04,F-05,F-06</t>
        </is>
      </c>
      <c r="L90" s="10" t="inlineStr">
        <is>
          <t>L-15,L-17,L-18; Q_CEI_Tela_11; Fechamento vigente 13/09/2026, §3.1–3.3</t>
        </is>
      </c>
      <c r="M90" s="10">
        <f>F90*G90</f>
        <v>0</v>
      </c>
    </row>
    <row r="91" ht="72" customHeight="1">
      <c r="A91" s="11" t="inlineStr">
        <is>
          <t>BK-085</t>
        </is>
      </c>
      <c r="B91" s="11" t="inlineStr">
        <is>
          <t>07 Estoque, produção e compras</t>
        </is>
      </c>
      <c r="C91" s="11" t="inlineStr">
        <is>
          <t>Implementar sinais externos do cacau</t>
        </is>
      </c>
      <c r="D91" s="11" t="inlineStr">
        <is>
          <t>Desenvolvimento</t>
        </is>
      </c>
      <c r="E91" s="12" t="inlineStr">
        <is>
          <t>Não iniciada</t>
        </is>
      </c>
      <c r="F91" s="30" t="n">
        <v>1</v>
      </c>
      <c r="G91" s="32">
        <f>IF(AND(E91="Concluída",H91&lt;&gt;""),1,0)</f>
        <v>0</v>
      </c>
      <c r="H91" s="12" t="inlineStr"/>
      <c r="I91" s="11" t="inlineStr">
        <is>
          <t>Engenharia</t>
        </is>
      </c>
      <c r="J91" s="11" t="inlineStr">
        <is>
          <t>BK-011, BK-039, BK-036, BK-083</t>
        </is>
      </c>
      <c r="K91" s="11" t="inlineStr">
        <is>
          <t>R-14,HT-10,F-07</t>
        </is>
      </c>
      <c r="L91" s="11" t="inlineStr">
        <is>
          <t>M-044; Q_CEI_Tela_11; Consolidação 13/09/2026, pendência 10; Fechamento vigente 13/09/2026, §3.4</t>
        </is>
      </c>
      <c r="M91" s="11">
        <f>F91*G91</f>
        <v>0</v>
      </c>
    </row>
    <row r="92" ht="72" customHeight="1">
      <c r="A92" s="10" t="inlineStr">
        <is>
          <t>BK-086</t>
        </is>
      </c>
      <c r="B92" s="10" t="inlineStr">
        <is>
          <t>07 Estoque, produção e compras</t>
        </is>
      </c>
      <c r="C92" s="10" t="inlineStr">
        <is>
          <t>Implementar T11 Compras e exportação de recomendações</t>
        </is>
      </c>
      <c r="D92" s="10" t="inlineStr">
        <is>
          <t>Desenvolvimento</t>
        </is>
      </c>
      <c r="E92" s="12" t="inlineStr">
        <is>
          <t>Não iniciada</t>
        </is>
      </c>
      <c r="F92" s="30" t="n">
        <v>1</v>
      </c>
      <c r="G92" s="31">
        <f>IF(AND(E92="Concluída",H92&lt;&gt;""),1,0)</f>
        <v>0</v>
      </c>
      <c r="H92" s="12" t="inlineStr"/>
      <c r="I92" s="10" t="inlineStr">
        <is>
          <t>Engenharia</t>
        </is>
      </c>
      <c r="J92" s="10" t="inlineStr">
        <is>
          <t>BK-004, BK-084, BK-028</t>
        </is>
      </c>
      <c r="K92" s="10" t="inlineStr">
        <is>
          <t>F-05,F-07</t>
        </is>
      </c>
      <c r="L92" s="10" t="inlineStr">
        <is>
          <t>Q_CEI_Tela_11; T-CEI11-01..12; Fechamento vigente 13/09/2026, §§3.4,5</t>
        </is>
      </c>
      <c r="M92" s="10">
        <f>F92*G92</f>
        <v>0</v>
      </c>
    </row>
    <row r="93" ht="72" customHeight="1">
      <c r="A93" s="11" t="inlineStr">
        <is>
          <t>BK-087</t>
        </is>
      </c>
      <c r="B93" s="11" t="inlineStr">
        <is>
          <t>08 Projeções e cenários</t>
        </is>
      </c>
      <c r="C93" s="11" t="inlineStr">
        <is>
          <t>Preparar histórico de vendas por SKU para projeções</t>
        </is>
      </c>
      <c r="D93" s="11" t="inlineStr">
        <is>
          <t>Desenvolvimento</t>
        </is>
      </c>
      <c r="E93" s="12" t="inlineStr">
        <is>
          <t>Não iniciada</t>
        </is>
      </c>
      <c r="F93" s="30" t="n">
        <v>1</v>
      </c>
      <c r="G93" s="32">
        <f>IF(AND(E93="Concluída",H93&lt;&gt;""),1,0)</f>
        <v>0</v>
      </c>
      <c r="H93" s="12" t="inlineStr"/>
      <c r="I93" s="11" t="inlineStr">
        <is>
          <t>Engenharia</t>
        </is>
      </c>
      <c r="J93" s="11" t="inlineStr">
        <is>
          <t>BK-045, BK-009, BK-023</t>
        </is>
      </c>
      <c r="K93" s="11" t="inlineStr">
        <is>
          <t>R-13,HT-09,F-12</t>
        </is>
      </c>
      <c r="L93" s="11" t="inlineStr">
        <is>
          <t>R_CEI_Tela_12; Consolidação 13/09/2026, pendência 9</t>
        </is>
      </c>
      <c r="M93" s="11">
        <f>F93*G93</f>
        <v>0</v>
      </c>
    </row>
    <row r="94" ht="72" customHeight="1">
      <c r="A94" s="10" t="inlineStr">
        <is>
          <t>BK-088</t>
        </is>
      </c>
      <c r="B94" s="10" t="inlineStr">
        <is>
          <t>08 Projeções e cenários</t>
        </is>
      </c>
      <c r="C94" s="10" t="inlineStr">
        <is>
          <t>Implementar calendário sazonal versionado</t>
        </is>
      </c>
      <c r="D94" s="10" t="inlineStr">
        <is>
          <t>Desenvolvimento</t>
        </is>
      </c>
      <c r="E94" s="12" t="inlineStr">
        <is>
          <t>Não iniciada</t>
        </is>
      </c>
      <c r="F94" s="30" t="n">
        <v>1</v>
      </c>
      <c r="G94" s="31">
        <f>IF(AND(E94="Concluída",H94&lt;&gt;""),1,0)</f>
        <v>0</v>
      </c>
      <c r="H94" s="12" t="inlineStr"/>
      <c r="I94" s="10" t="inlineStr">
        <is>
          <t>Engenharia</t>
        </is>
      </c>
      <c r="J94" s="10" t="inlineStr">
        <is>
          <t>BK-009, BK-036</t>
        </is>
      </c>
      <c r="K94" s="10" t="inlineStr"/>
      <c r="L94" s="10" t="inlineStr">
        <is>
          <t>H_Contrato_Dados!A23:H23; T12</t>
        </is>
      </c>
      <c r="M94" s="10">
        <f>F94*G94</f>
        <v>0</v>
      </c>
    </row>
    <row r="95" ht="72" customHeight="1">
      <c r="A95" s="11" t="inlineStr">
        <is>
          <t>BK-089</t>
        </is>
      </c>
      <c r="B95" s="11" t="inlineStr">
        <is>
          <t>08 Projeções e cenários</t>
        </is>
      </c>
      <c r="C95" s="11" t="inlineStr">
        <is>
          <t>Construir e comparar modelos de projeção</t>
        </is>
      </c>
      <c r="D95" s="11" t="inlineStr">
        <is>
          <t>Desenvolvimento</t>
        </is>
      </c>
      <c r="E95" s="12" t="inlineStr">
        <is>
          <t>Não iniciada</t>
        </is>
      </c>
      <c r="F95" s="30" t="n">
        <v>1</v>
      </c>
      <c r="G95" s="32">
        <f>IF(AND(E95="Concluída",H95&lt;&gt;""),1,0)</f>
        <v>0</v>
      </c>
      <c r="H95" s="12" t="inlineStr"/>
      <c r="I95" s="11" t="inlineStr">
        <is>
          <t>Engenharia</t>
        </is>
      </c>
      <c r="J95" s="11" t="inlineStr">
        <is>
          <t>BK-087, BK-088, BK-023</t>
        </is>
      </c>
      <c r="K95" s="11" t="inlineStr">
        <is>
          <t>F-12</t>
        </is>
      </c>
      <c r="L95" s="11" t="inlineStr">
        <is>
          <t>M-046; R_CEI_Tela_12</t>
        </is>
      </c>
      <c r="M95" s="11">
        <f>F95*G95</f>
        <v>0</v>
      </c>
    </row>
    <row r="96" ht="72" customHeight="1">
      <c r="A96" s="10" t="inlineStr">
        <is>
          <t>BK-090</t>
        </is>
      </c>
      <c r="B96" s="10" t="inlineStr">
        <is>
          <t>08 Projeções e cenários</t>
        </is>
      </c>
      <c r="C96" s="10" t="inlineStr">
        <is>
          <t>Validar WAPE, Bias e MASE sem vazamento temporal</t>
        </is>
      </c>
      <c r="D96" s="10" t="inlineStr">
        <is>
          <t>Desenvolvimento</t>
        </is>
      </c>
      <c r="E96" s="12" t="inlineStr">
        <is>
          <t>Não iniciada</t>
        </is>
      </c>
      <c r="F96" s="30" t="n">
        <v>1</v>
      </c>
      <c r="G96" s="31">
        <f>IF(AND(E96="Concluída",H96&lt;&gt;""),1,0)</f>
        <v>0</v>
      </c>
      <c r="H96" s="12" t="inlineStr"/>
      <c r="I96" s="10" t="inlineStr">
        <is>
          <t>Engenharia</t>
        </is>
      </c>
      <c r="J96" s="10" t="inlineStr">
        <is>
          <t>BK-089, BK-009</t>
        </is>
      </c>
      <c r="K96" s="10" t="inlineStr">
        <is>
          <t>R-13,HT-09,F-12</t>
        </is>
      </c>
      <c r="L96" s="10" t="inlineStr">
        <is>
          <t>L-20; T-CEI12-01,02,10; Consolidação 13/09/2026, pendência 9</t>
        </is>
      </c>
      <c r="M96" s="10">
        <f>F96*G96</f>
        <v>0</v>
      </c>
    </row>
    <row r="97" ht="72" customHeight="1">
      <c r="A97" s="11" t="inlineStr">
        <is>
          <t>BK-091</t>
        </is>
      </c>
      <c r="B97" s="11" t="inlineStr">
        <is>
          <t>08 Projeções e cenários</t>
        </is>
      </c>
      <c r="C97" s="11" t="inlineStr">
        <is>
          <t>Implementar forecast e metas explícitas como planejamento distinto</t>
        </is>
      </c>
      <c r="D97" s="11" t="inlineStr">
        <is>
          <t>Desenvolvimento</t>
        </is>
      </c>
      <c r="E97" s="12" t="inlineStr">
        <is>
          <t>Não iniciada</t>
        </is>
      </c>
      <c r="F97" s="30" t="n">
        <v>1</v>
      </c>
      <c r="G97" s="32">
        <f>IF(AND(E97="Concluída",H97&lt;&gt;""),1,0)</f>
        <v>0</v>
      </c>
      <c r="H97" s="12" t="inlineStr"/>
      <c r="I97" s="11" t="inlineStr">
        <is>
          <t>Engenharia</t>
        </is>
      </c>
      <c r="J97" s="11" t="inlineStr">
        <is>
          <t>BK-090, BK-009, BK-079</t>
        </is>
      </c>
      <c r="K97" s="11" t="inlineStr">
        <is>
          <t>F-11</t>
        </is>
      </c>
      <c r="L97" s="11" t="inlineStr">
        <is>
          <t>M-048; L-21; R_CEI_Tela_12; Fechamento vigente 13/09/2026, §4.6</t>
        </is>
      </c>
      <c r="M97" s="11">
        <f>F97*G97</f>
        <v>0</v>
      </c>
    </row>
    <row r="98" ht="72" customHeight="1">
      <c r="A98" s="10" t="inlineStr">
        <is>
          <t>BK-092</t>
        </is>
      </c>
      <c r="B98" s="10" t="inlineStr">
        <is>
          <t>08 Projeções e cenários</t>
        </is>
      </c>
      <c r="C98" s="10" t="inlineStr">
        <is>
          <t>Implementar produção projetada a partir das vendas</t>
        </is>
      </c>
      <c r="D98" s="10" t="inlineStr">
        <is>
          <t>Desenvolvimento</t>
        </is>
      </c>
      <c r="E98" s="12" t="inlineStr">
        <is>
          <t>Não iniciada</t>
        </is>
      </c>
      <c r="F98" s="30" t="n">
        <v>1</v>
      </c>
      <c r="G98" s="31">
        <f>IF(AND(E98="Concluída",H98&lt;&gt;""),1,0)</f>
        <v>0</v>
      </c>
      <c r="H98" s="12" t="inlineStr"/>
      <c r="I98" s="10" t="inlineStr">
        <is>
          <t>Engenharia</t>
        </is>
      </c>
      <c r="J98" s="10" t="inlineStr">
        <is>
          <t>BK-091, BK-009, BK-048, BK-077</t>
        </is>
      </c>
      <c r="K98" s="10" t="inlineStr">
        <is>
          <t>Q-11,F-10</t>
        </is>
      </c>
      <c r="L98" s="10" t="inlineStr">
        <is>
          <t>M-047; R_CEI_Tela_12; Fechamento vigente 13/09/2026, §4.5</t>
        </is>
      </c>
      <c r="M98" s="10">
        <f>F98*G98</f>
        <v>0</v>
      </c>
    </row>
    <row r="99" ht="72" customHeight="1">
      <c r="A99" s="11" t="inlineStr">
        <is>
          <t>BK-093</t>
        </is>
      </c>
      <c r="B99" s="11" t="inlineStr">
        <is>
          <t>08 Projeções e cenários</t>
        </is>
      </c>
      <c r="C99" s="11" t="inlineStr">
        <is>
          <t>Implementar evolução do estoque projetado</t>
        </is>
      </c>
      <c r="D99" s="11" t="inlineStr">
        <is>
          <t>Desenvolvimento</t>
        </is>
      </c>
      <c r="E99" s="12" t="inlineStr">
        <is>
          <t>Não iniciada</t>
        </is>
      </c>
      <c r="F99" s="30" t="n">
        <v>1</v>
      </c>
      <c r="G99" s="32">
        <f>IF(AND(E99="Concluída",H99&lt;&gt;""),1,0)</f>
        <v>0</v>
      </c>
      <c r="H99" s="12" t="inlineStr"/>
      <c r="I99" s="11" t="inlineStr">
        <is>
          <t>Engenharia</t>
        </is>
      </c>
      <c r="J99" s="11" t="inlineStr">
        <is>
          <t>BK-092, BK-048</t>
        </is>
      </c>
      <c r="K99" s="11" t="inlineStr">
        <is>
          <t>F-10</t>
        </is>
      </c>
      <c r="L99" s="11" t="inlineStr">
        <is>
          <t>M-047; H_Contrato_Dados!A28:H28; Fechamento vigente 13/09/2026, §4.5</t>
        </is>
      </c>
      <c r="M99" s="11">
        <f>F99*G99</f>
        <v>0</v>
      </c>
    </row>
    <row r="100" ht="72" customHeight="1">
      <c r="A100" s="10" t="inlineStr">
        <is>
          <t>BK-094</t>
        </is>
      </c>
      <c r="B100" s="10" t="inlineStr">
        <is>
          <t>08 Projeções e cenários</t>
        </is>
      </c>
      <c r="C100" s="10" t="inlineStr">
        <is>
          <t>Implementar necessidade de insumos e OP Projetada</t>
        </is>
      </c>
      <c r="D100" s="10" t="inlineStr">
        <is>
          <t>Desenvolvimento</t>
        </is>
      </c>
      <c r="E100" s="12" t="inlineStr">
        <is>
          <t>Não iniciada</t>
        </is>
      </c>
      <c r="F100" s="30" t="n">
        <v>1</v>
      </c>
      <c r="G100" s="31">
        <f>IF(AND(E100="Concluída",H100&lt;&gt;""),1,0)</f>
        <v>0</v>
      </c>
      <c r="H100" s="12" t="inlineStr"/>
      <c r="I100" s="10" t="inlineStr">
        <is>
          <t>Engenharia</t>
        </is>
      </c>
      <c r="J100" s="10" t="inlineStr">
        <is>
          <t>BK-092, BK-048, BK-009</t>
        </is>
      </c>
      <c r="K100" s="10" t="inlineStr">
        <is>
          <t>Q-24,R-11,HT-07,F-04,F-10</t>
        </is>
      </c>
      <c r="L100" s="10" t="inlineStr">
        <is>
          <t>H_Contrato_Dados!A12:H12; R_CEI_Tela_12; Consolidação 13/09/2026, §11; pendência 7; Fechamento vigente 13/09/2026, §3.1,4.5</t>
        </is>
      </c>
      <c r="M100" s="10">
        <f>F100*G100</f>
        <v>0</v>
      </c>
    </row>
    <row r="101" ht="72" customHeight="1">
      <c r="A101" s="11" t="inlineStr">
        <is>
          <t>BK-095</t>
        </is>
      </c>
      <c r="B101" s="11" t="inlineStr">
        <is>
          <t>08 Projeções e cenários</t>
        </is>
      </c>
      <c r="C101" s="11" t="inlineStr">
        <is>
          <t>Implementar resumo financeiro dos cenários</t>
        </is>
      </c>
      <c r="D101" s="11" t="inlineStr">
        <is>
          <t>Desenvolvimento</t>
        </is>
      </c>
      <c r="E101" s="12" t="inlineStr">
        <is>
          <t>Não iniciada</t>
        </is>
      </c>
      <c r="F101" s="30" t="n">
        <v>1</v>
      </c>
      <c r="G101" s="32">
        <f>IF(AND(E101="Concluída",H101&lt;&gt;""),1,0)</f>
        <v>0</v>
      </c>
      <c r="H101" s="12" t="inlineStr"/>
      <c r="I101" s="11" t="inlineStr">
        <is>
          <t>Engenharia</t>
        </is>
      </c>
      <c r="J101" s="11" t="inlineStr">
        <is>
          <t>BK-091, BK-093, BK-064</t>
        </is>
      </c>
      <c r="K101" s="11" t="inlineStr">
        <is>
          <t>Q-25,F-11</t>
        </is>
      </c>
      <c r="L101" s="11" t="inlineStr">
        <is>
          <t>T12 aba Resumo financeiro; R_CEI_Tela_12; Fechamento vigente 13/09/2026, §4.6</t>
        </is>
      </c>
      <c r="M101" s="11">
        <f>F101*G101</f>
        <v>0</v>
      </c>
    </row>
    <row r="102" ht="72" customHeight="1">
      <c r="A102" s="10" t="inlineStr">
        <is>
          <t>BK-096</t>
        </is>
      </c>
      <c r="B102" s="10" t="inlineStr">
        <is>
          <t>08 Projeções e cenários</t>
        </is>
      </c>
      <c r="C102" s="10" t="inlineStr">
        <is>
          <t>Implementar T12 Projeções e ajuste de metas</t>
        </is>
      </c>
      <c r="D102" s="10" t="inlineStr">
        <is>
          <t>Desenvolvimento</t>
        </is>
      </c>
      <c r="E102" s="12" t="inlineStr">
        <is>
          <t>Não iniciada</t>
        </is>
      </c>
      <c r="F102" s="30" t="n">
        <v>1</v>
      </c>
      <c r="G102" s="31">
        <f>IF(AND(E102="Concluída",H102&lt;&gt;""),1,0)</f>
        <v>0</v>
      </c>
      <c r="H102" s="12" t="inlineStr"/>
      <c r="I102" s="10" t="inlineStr">
        <is>
          <t>Engenharia</t>
        </is>
      </c>
      <c r="J102" s="10" t="inlineStr">
        <is>
          <t>BK-090, BK-091, BK-093, BK-094, BK-095, BK-028</t>
        </is>
      </c>
      <c r="K102" s="10" t="inlineStr">
        <is>
          <t>F-11</t>
        </is>
      </c>
      <c r="L102" s="10" t="inlineStr">
        <is>
          <t>T12; R_CEI_Tela_12; Fechamento vigente 13/09/2026, §§4–5</t>
        </is>
      </c>
      <c r="M102" s="10">
        <f>F102*G102</f>
        <v>0</v>
      </c>
    </row>
    <row r="103" ht="72" customHeight="1">
      <c r="A103" s="11" t="inlineStr">
        <is>
          <t>BK-097</t>
        </is>
      </c>
      <c r="B103" s="11" t="inlineStr">
        <is>
          <t>08 Projeções e cenários</t>
        </is>
      </c>
      <c r="C103" s="11" t="inlineStr">
        <is>
          <t>Exportar o cenário de projeções para Excel</t>
        </is>
      </c>
      <c r="D103" s="11" t="inlineStr">
        <is>
          <t>Desenvolvimento</t>
        </is>
      </c>
      <c r="E103" s="12" t="inlineStr">
        <is>
          <t>Não iniciada</t>
        </is>
      </c>
      <c r="F103" s="30" t="n">
        <v>1</v>
      </c>
      <c r="G103" s="32">
        <f>IF(AND(E103="Concluída",H103&lt;&gt;""),1,0)</f>
        <v>0</v>
      </c>
      <c r="H103" s="12" t="inlineStr"/>
      <c r="I103" s="11" t="inlineStr">
        <is>
          <t>Engenharia</t>
        </is>
      </c>
      <c r="J103" s="11" t="inlineStr">
        <is>
          <t>BK-096, BK-033</t>
        </is>
      </c>
      <c r="K103" s="11" t="inlineStr">
        <is>
          <t>F-14</t>
        </is>
      </c>
      <c r="L103" s="11" t="inlineStr">
        <is>
          <t>M-049; R_CEI_Tela_12; T-CEI12-11..13</t>
        </is>
      </c>
      <c r="M103" s="11">
        <f>F103*G103</f>
        <v>0</v>
      </c>
    </row>
    <row r="104" ht="72" customHeight="1">
      <c r="A104" s="10" t="inlineStr">
        <is>
          <t>BK-098</t>
        </is>
      </c>
      <c r="B104" s="10" t="inlineStr">
        <is>
          <t>09 Controle e visão executiva</t>
        </is>
      </c>
      <c r="C104" s="10" t="inlineStr">
        <is>
          <t>Implementar registro único de pendências</t>
        </is>
      </c>
      <c r="D104" s="10" t="inlineStr">
        <is>
          <t>Desenvolvimento</t>
        </is>
      </c>
      <c r="E104" s="12" t="inlineStr">
        <is>
          <t>Não iniciada</t>
        </is>
      </c>
      <c r="F104" s="30" t="n">
        <v>1</v>
      </c>
      <c r="G104" s="31">
        <f>IF(AND(E104="Concluída",H104&lt;&gt;""),1,0)</f>
        <v>0</v>
      </c>
      <c r="H104" s="12" t="inlineStr"/>
      <c r="I104" s="10" t="inlineStr">
        <is>
          <t>Engenharia</t>
        </is>
      </c>
      <c r="J104" s="10" t="inlineStr">
        <is>
          <t>BK-038, BK-012, BK-034</t>
        </is>
      </c>
      <c r="K104" s="10" t="inlineStr">
        <is>
          <t>F-16</t>
        </is>
      </c>
      <c r="L104" s="10" t="inlineStr">
        <is>
          <t>M-051,M-054; S_CEI_Tela_13; Consolidação 13/09/2026, §§2–7</t>
        </is>
      </c>
      <c r="M104" s="10">
        <f>F104*G104</f>
        <v>0</v>
      </c>
    </row>
    <row r="105" ht="72" customHeight="1">
      <c r="A105" s="11" t="inlineStr">
        <is>
          <t>BK-099</t>
        </is>
      </c>
      <c r="B105" s="11" t="inlineStr">
        <is>
          <t>09 Controle e visão executiva</t>
        </is>
      </c>
      <c r="C105" s="11" t="inlineStr">
        <is>
          <t>Implementar T13 Lançamentos e Pendências</t>
        </is>
      </c>
      <c r="D105" s="11" t="inlineStr">
        <is>
          <t>Desenvolvimento</t>
        </is>
      </c>
      <c r="E105" s="12" t="inlineStr">
        <is>
          <t>Não iniciada</t>
        </is>
      </c>
      <c r="F105" s="30" t="n">
        <v>1</v>
      </c>
      <c r="G105" s="32">
        <f>IF(AND(E105="Concluída",H105&lt;&gt;""),1,0)</f>
        <v>0</v>
      </c>
      <c r="H105" s="12" t="inlineStr"/>
      <c r="I105" s="11" t="inlineStr">
        <is>
          <t>Engenharia</t>
        </is>
      </c>
      <c r="J105" s="11" t="inlineStr">
        <is>
          <t>BK-098, BK-028, BK-033</t>
        </is>
      </c>
      <c r="K105" s="11" t="inlineStr"/>
      <c r="L105" s="11" t="inlineStr">
        <is>
          <t>T13; S_CEI_Tela_13</t>
        </is>
      </c>
      <c r="M105" s="11">
        <f>F105*G105</f>
        <v>0</v>
      </c>
    </row>
    <row r="106" ht="72" customHeight="1">
      <c r="A106" s="10" t="inlineStr">
        <is>
          <t>BK-100</t>
        </is>
      </c>
      <c r="B106" s="10" t="inlineStr">
        <is>
          <t>09 Controle e visão executiva</t>
        </is>
      </c>
      <c r="C106" s="10" t="inlineStr">
        <is>
          <t>Implementar eventos de alerta com regra única de origem</t>
        </is>
      </c>
      <c r="D106" s="10" t="inlineStr">
        <is>
          <t>Desenvolvimento</t>
        </is>
      </c>
      <c r="E106" s="12" t="inlineStr">
        <is>
          <t>Não iniciada</t>
        </is>
      </c>
      <c r="F106" s="30" t="n">
        <v>1</v>
      </c>
      <c r="G106" s="31">
        <f>IF(AND(E106="Concluída",H106&lt;&gt;""),1,0)</f>
        <v>0</v>
      </c>
      <c r="H106" s="12" t="inlineStr"/>
      <c r="I106" s="10" t="inlineStr">
        <is>
          <t>Engenharia</t>
        </is>
      </c>
      <c r="J106" s="10" t="inlineStr">
        <is>
          <t>BK-098, BK-051, BK-077, BK-060, BK-012</t>
        </is>
      </c>
      <c r="K106" s="10" t="inlineStr"/>
      <c r="L106" s="10" t="inlineStr">
        <is>
          <t>M-052,M-054; T_CEI_Tela_14</t>
        </is>
      </c>
      <c r="M106" s="10">
        <f>F106*G106</f>
        <v>0</v>
      </c>
    </row>
    <row r="107" ht="72" customHeight="1">
      <c r="A107" s="11" t="inlineStr">
        <is>
          <t>BK-101</t>
        </is>
      </c>
      <c r="B107" s="11" t="inlineStr">
        <is>
          <t>09 Controle e visão executiva</t>
        </is>
      </c>
      <c r="C107" s="11" t="inlineStr">
        <is>
          <t>Implementar T14 Alertas</t>
        </is>
      </c>
      <c r="D107" s="11" t="inlineStr">
        <is>
          <t>Desenvolvimento</t>
        </is>
      </c>
      <c r="E107" s="12" t="inlineStr">
        <is>
          <t>Não iniciada</t>
        </is>
      </c>
      <c r="F107" s="30" t="n">
        <v>1</v>
      </c>
      <c r="G107" s="32">
        <f>IF(AND(E107="Concluída",H107&lt;&gt;""),1,0)</f>
        <v>0</v>
      </c>
      <c r="H107" s="12" t="inlineStr"/>
      <c r="I107" s="11" t="inlineStr">
        <is>
          <t>Engenharia</t>
        </is>
      </c>
      <c r="J107" s="11" t="inlineStr">
        <is>
          <t>BK-100, BK-028</t>
        </is>
      </c>
      <c r="K107" s="11" t="inlineStr"/>
      <c r="L107" s="11" t="inlineStr">
        <is>
          <t>T14; T_CEI_Tela_14</t>
        </is>
      </c>
      <c r="M107" s="11">
        <f>F107*G107</f>
        <v>0</v>
      </c>
    </row>
    <row r="108" ht="72" customHeight="1">
      <c r="A108" s="10" t="inlineStr">
        <is>
          <t>BK-102</t>
        </is>
      </c>
      <c r="B108" s="10" t="inlineStr">
        <is>
          <t>09 Controle e visão executiva</t>
        </is>
      </c>
      <c r="C108" s="10" t="inlineStr">
        <is>
          <t>Implementar T01 Visão Executiva</t>
        </is>
      </c>
      <c r="D108" s="10" t="inlineStr">
        <is>
          <t>Desenvolvimento</t>
        </is>
      </c>
      <c r="E108" s="12" t="inlineStr">
        <is>
          <t>Não iniciada</t>
        </is>
      </c>
      <c r="F108" s="30" t="n">
        <v>1</v>
      </c>
      <c r="G108" s="31">
        <f>IF(AND(E108="Concluída",H108&lt;&gt;""),1,0)</f>
        <v>0</v>
      </c>
      <c r="H108" s="12" t="inlineStr"/>
      <c r="I108" s="10" t="inlineStr">
        <is>
          <t>Engenharia</t>
        </is>
      </c>
      <c r="J108" s="10" t="inlineStr">
        <is>
          <t>BK-004, BK-062, BK-067, BK-078, BK-081, BK-096, BK-101</t>
        </is>
      </c>
      <c r="K108" s="10" t="inlineStr">
        <is>
          <t>Q-02,F-08</t>
        </is>
      </c>
      <c r="L108" s="10" t="inlineStr">
        <is>
          <t>Menus: Visão Executiva; Fechamento vigente 13/09/2026, §4.2,5</t>
        </is>
      </c>
      <c r="M108" s="10">
        <f>F108*G108</f>
        <v>0</v>
      </c>
    </row>
    <row r="109" ht="72" customHeight="1">
      <c r="A109" s="11" t="inlineStr">
        <is>
          <t>BK-103</t>
        </is>
      </c>
      <c r="B109" s="11" t="inlineStr">
        <is>
          <t>09 Controle e visão executiva</t>
        </is>
      </c>
      <c r="C109" s="11" t="inlineStr">
        <is>
          <t>Implementar os módulos adicionais confirmados no escopo</t>
        </is>
      </c>
      <c r="D109" s="11" t="inlineStr">
        <is>
          <t>Desenvolvimento</t>
        </is>
      </c>
      <c r="E109" s="12" t="inlineStr">
        <is>
          <t>Não iniciada</t>
        </is>
      </c>
      <c r="F109" s="30" t="n">
        <v>1</v>
      </c>
      <c r="G109" s="32">
        <f>IF(AND(E109="Concluída",H109&lt;&gt;""),1,0)</f>
        <v>0</v>
      </c>
      <c r="H109" s="12" t="inlineStr"/>
      <c r="I109" s="11" t="inlineStr">
        <is>
          <t>Produto + Full Stack</t>
        </is>
      </c>
      <c r="J109" s="11" t="inlineStr">
        <is>
          <t>BK-004, BK-021, BK-016</t>
        </is>
      </c>
      <c r="K109" s="11" t="inlineStr">
        <is>
          <t>Q-02</t>
        </is>
      </c>
      <c r="L109" s="11" t="inlineStr">
        <is>
          <t>Menus T12/T13; matriz Pricing/Logística; Fechamento vigente 13/09/2026, §5</t>
        </is>
      </c>
      <c r="M109" s="11">
        <f>F109*G109</f>
        <v>0</v>
      </c>
    </row>
    <row r="110" ht="72" customHeight="1">
      <c r="A110" s="10" t="inlineStr">
        <is>
          <t>BK-104</t>
        </is>
      </c>
      <c r="B110" s="10" t="inlineStr">
        <is>
          <t>10 Verificação integrada</t>
        </is>
      </c>
      <c r="C110" s="10" t="inlineStr">
        <is>
          <t>Implementar exportações financeiras e de controle aprovadas</t>
        </is>
      </c>
      <c r="D110" s="10" t="inlineStr">
        <is>
          <t>Desenvolvimento</t>
        </is>
      </c>
      <c r="E110" s="12" t="inlineStr">
        <is>
          <t>Não iniciada</t>
        </is>
      </c>
      <c r="F110" s="30" t="n">
        <v>1</v>
      </c>
      <c r="G110" s="31">
        <f>IF(AND(E110="Concluída",H110&lt;&gt;""),1,0)</f>
        <v>0</v>
      </c>
      <c r="H110" s="12" t="inlineStr"/>
      <c r="I110" s="10" t="inlineStr">
        <is>
          <t>Full Stack</t>
        </is>
      </c>
      <c r="J110" s="10" t="inlineStr">
        <is>
          <t>BK-012, BK-062, BK-057, BK-059, BK-055, BK-067, BK-069, BK-099, BK-101, BK-052</t>
        </is>
      </c>
      <c r="K110" s="10" t="inlineStr">
        <is>
          <t>F-14</t>
        </is>
      </c>
      <c r="L110" s="10" t="inlineStr">
        <is>
          <t>T02–T07; T13–T15; L-22; Fechamento vigente 13/09/2026, §5.7</t>
        </is>
      </c>
      <c r="M110" s="10">
        <f>F110*G110</f>
        <v>0</v>
      </c>
    </row>
    <row r="111" ht="72" customHeight="1">
      <c r="A111" s="11" t="inlineStr">
        <is>
          <t>BK-105</t>
        </is>
      </c>
      <c r="B111" s="11" t="inlineStr">
        <is>
          <t>10 Verificação integrada</t>
        </is>
      </c>
      <c r="C111" s="11" t="inlineStr">
        <is>
          <t>Rastrear cada requisito até tarefa e teste</t>
        </is>
      </c>
      <c r="D111" s="11" t="inlineStr">
        <is>
          <t>Qualidade</t>
        </is>
      </c>
      <c r="E111" s="12" t="inlineStr">
        <is>
          <t>Não iniciada</t>
        </is>
      </c>
      <c r="F111" s="30" t="n">
        <v>1</v>
      </c>
      <c r="G111" s="32">
        <f>IF(AND(E111="Concluída",H111&lt;&gt;""),1,0)</f>
        <v>0</v>
      </c>
      <c r="H111" s="12" t="inlineStr"/>
      <c r="I111" s="11" t="inlineStr">
        <is>
          <t>QA + Arquitetura</t>
        </is>
      </c>
      <c r="J111" s="11" t="inlineStr">
        <is>
          <t>BK-016, BK-019</t>
        </is>
      </c>
      <c r="K111" s="11" t="inlineStr"/>
      <c r="L111" s="11" t="inlineStr">
        <is>
          <t>A_Matriz_Mestra; H_Contrato_Dados; I_Testes; Consolidação 13/09/2026, consolidação integral; Fechamento vigente 13/09/2026, integral</t>
        </is>
      </c>
      <c r="M111" s="11">
        <f>F111*G111</f>
        <v>0</v>
      </c>
    </row>
    <row r="112" ht="72" customHeight="1">
      <c r="A112" s="10" t="inlineStr">
        <is>
          <t>BK-106</t>
        </is>
      </c>
      <c r="B112" s="10" t="inlineStr">
        <is>
          <t>10 Verificação integrada</t>
        </is>
      </c>
      <c r="C112" s="10" t="inlineStr">
        <is>
          <t>Validar regras de domínio e casos de fronteira</t>
        </is>
      </c>
      <c r="D112" s="10" t="inlineStr">
        <is>
          <t>Qualidade</t>
        </is>
      </c>
      <c r="E112" s="12" t="inlineStr">
        <is>
          <t>Não iniciada</t>
        </is>
      </c>
      <c r="F112" s="30" t="n">
        <v>1</v>
      </c>
      <c r="G112" s="31">
        <f>IF(AND(E112="Concluída",H112&lt;&gt;""),1,0)</f>
        <v>0</v>
      </c>
      <c r="H112" s="12" t="inlineStr"/>
      <c r="I112" s="10" t="inlineStr">
        <is>
          <t>QA + Backend</t>
        </is>
      </c>
      <c r="J112" s="10" t="inlineStr">
        <is>
          <t>BK-105, BK-072, BK-068, BK-084, BK-093, BK-065</t>
        </is>
      </c>
      <c r="K112" s="10" t="inlineStr"/>
      <c r="L112" s="10" t="inlineStr">
        <is>
          <t>I_Testes: catálogo previsto, ainda não executado; Consolidação 13/09/2026, §§6–12; Fechamento vigente 13/09/2026, §§2–4,6,8</t>
        </is>
      </c>
      <c r="M112" s="10">
        <f>F112*G112</f>
        <v>0</v>
      </c>
    </row>
    <row r="113" ht="72" customHeight="1">
      <c r="A113" s="11" t="inlineStr">
        <is>
          <t>BK-107</t>
        </is>
      </c>
      <c r="B113" s="11" t="inlineStr">
        <is>
          <t>10 Verificação integrada</t>
        </is>
      </c>
      <c r="C113" s="11" t="inlineStr">
        <is>
          <t>Validar integrações, concorrência e reinício</t>
        </is>
      </c>
      <c r="D113" s="11" t="inlineStr">
        <is>
          <t>Qualidade</t>
        </is>
      </c>
      <c r="E113" s="12" t="inlineStr">
        <is>
          <t>Não iniciada</t>
        </is>
      </c>
      <c r="F113" s="30" t="n">
        <v>1</v>
      </c>
      <c r="G113" s="32">
        <f>IF(AND(E113="Concluída",H113&lt;&gt;""),1,0)</f>
        <v>0</v>
      </c>
      <c r="H113" s="12" t="inlineStr"/>
      <c r="I113" s="11" t="inlineStr">
        <is>
          <t>QA + Integrações</t>
        </is>
      </c>
      <c r="J113" s="11" t="inlineStr">
        <is>
          <t>BK-052, BK-044, BK-041, BK-054</t>
        </is>
      </c>
      <c r="K113" s="11" t="inlineStr">
        <is>
          <t>F-20</t>
        </is>
      </c>
      <c r="L113" s="11" t="inlineStr">
        <is>
          <t>; Consolidação 13/09/2026, §§1–2,6–10; Fechamento vigente 13/09/2026, §§7–8</t>
        </is>
      </c>
      <c r="M113" s="11">
        <f>F113*G113</f>
        <v>0</v>
      </c>
    </row>
    <row r="114" ht="72" customHeight="1">
      <c r="A114" s="10" t="inlineStr">
        <is>
          <t>BK-108</t>
        </is>
      </c>
      <c r="B114" s="10" t="inlineStr">
        <is>
          <t>10 Verificação integrada</t>
        </is>
      </c>
      <c r="C114" s="10" t="inlineStr">
        <is>
          <t>Validar fidelidade visual e acessibilidade</t>
        </is>
      </c>
      <c r="D114" s="10" t="inlineStr">
        <is>
          <t>Qualidade</t>
        </is>
      </c>
      <c r="E114" s="12" t="inlineStr">
        <is>
          <t>Não iniciada</t>
        </is>
      </c>
      <c r="F114" s="30" t="n">
        <v>1</v>
      </c>
      <c r="G114" s="31">
        <f>IF(AND(E114="Concluída",H114&lt;&gt;""),1,0)</f>
        <v>0</v>
      </c>
      <c r="H114" s="12" t="inlineStr"/>
      <c r="I114" s="10" t="inlineStr">
        <is>
          <t>UX + QA</t>
        </is>
      </c>
      <c r="J114" s="10" t="inlineStr">
        <is>
          <t>BK-102, BK-103, BK-074, BK-075, BK-076, BK-086, BK-037, BK-035, BK-055, BK-057, BK-059, BK-069, BK-073, BK-099</t>
        </is>
      </c>
      <c r="K114" s="10" t="inlineStr">
        <is>
          <t>F-13</t>
        </is>
      </c>
      <c r="L114" s="10" t="inlineStr">
        <is>
          <t>Todas as imagens e decisões UX; Fechamento vigente 13/09/2026, §5</t>
        </is>
      </c>
      <c r="M114" s="10">
        <f>F114*G114</f>
        <v>0</v>
      </c>
    </row>
    <row r="115" ht="72" customHeight="1">
      <c r="A115" s="11" t="inlineStr">
        <is>
          <t>BK-109</t>
        </is>
      </c>
      <c r="B115" s="11" t="inlineStr">
        <is>
          <t>10 Verificação integrada</t>
        </is>
      </c>
      <c r="C115" s="11" t="inlineStr">
        <is>
          <t>Validar arquivos exportados e proteção do conteúdo</t>
        </is>
      </c>
      <c r="D115" s="11" t="inlineStr">
        <is>
          <t>Qualidade</t>
        </is>
      </c>
      <c r="E115" s="12" t="inlineStr">
        <is>
          <t>Não iniciada</t>
        </is>
      </c>
      <c r="F115" s="30" t="n">
        <v>1</v>
      </c>
      <c r="G115" s="32">
        <f>IF(AND(E115="Concluída",H115&lt;&gt;""),1,0)</f>
        <v>0</v>
      </c>
      <c r="H115" s="12" t="inlineStr"/>
      <c r="I115" s="11" t="inlineStr">
        <is>
          <t>QA</t>
        </is>
      </c>
      <c r="J115" s="11" t="inlineStr">
        <is>
          <t>BK-097, BK-086, BK-012, BK-104</t>
        </is>
      </c>
      <c r="K115" s="11" t="inlineStr">
        <is>
          <t>F-14</t>
        </is>
      </c>
      <c r="L115" s="11" t="inlineStr"/>
      <c r="M115" s="11">
        <f>F115*G115</f>
        <v>0</v>
      </c>
    </row>
    <row r="116" ht="72" customHeight="1">
      <c r="A116" s="10" t="inlineStr">
        <is>
          <t>BK-110</t>
        </is>
      </c>
      <c r="B116" s="10" t="inlineStr">
        <is>
          <t>10 Verificação integrada</t>
        </is>
      </c>
      <c r="C116" s="10" t="inlineStr">
        <is>
          <t>Executar jornadas completas de ponta a ponta</t>
        </is>
      </c>
      <c r="D116" s="10" t="inlineStr">
        <is>
          <t>Qualidade</t>
        </is>
      </c>
      <c r="E116" s="12" t="inlineStr">
        <is>
          <t>Não iniciada</t>
        </is>
      </c>
      <c r="F116" s="30" t="n">
        <v>1</v>
      </c>
      <c r="G116" s="31">
        <f>IF(AND(E116="Concluída",H116&lt;&gt;""),1,0)</f>
        <v>0</v>
      </c>
      <c r="H116" s="12" t="inlineStr"/>
      <c r="I116" s="10" t="inlineStr">
        <is>
          <t>QA + Majucau</t>
        </is>
      </c>
      <c r="J116" s="10" t="inlineStr">
        <is>
          <t>BK-106, BK-107, BK-108, BK-109</t>
        </is>
      </c>
      <c r="K116" s="10" t="inlineStr"/>
      <c r="L116" s="10" t="inlineStr">
        <is>
          <t>; Fechamento vigente 13/09/2026, §§1–8; Fechamento vigente 13/09/2026, §8.14</t>
        </is>
      </c>
      <c r="M116" s="10">
        <f>F116*G116</f>
        <v>0</v>
      </c>
    </row>
    <row r="117" ht="72" customHeight="1">
      <c r="A117" s="11" t="inlineStr">
        <is>
          <t>BK-111</t>
        </is>
      </c>
      <c r="B117" s="11" t="inlineStr">
        <is>
          <t>10 Verificação integrada</t>
        </is>
      </c>
      <c r="C117" s="11" t="inlineStr">
        <is>
          <t>Validar controles de segurança antes da produção</t>
        </is>
      </c>
      <c r="D117" s="11" t="inlineStr">
        <is>
          <t>Qualidade</t>
        </is>
      </c>
      <c r="E117" s="12" t="inlineStr">
        <is>
          <t>Não iniciada</t>
        </is>
      </c>
      <c r="F117" s="30" t="n">
        <v>1</v>
      </c>
      <c r="G117" s="32">
        <f>IF(AND(E117="Concluída",H117&lt;&gt;""),1,0)</f>
        <v>0</v>
      </c>
      <c r="H117" s="12" t="inlineStr"/>
      <c r="I117" s="11" t="inlineStr">
        <is>
          <t>Segurança + QA</t>
        </is>
      </c>
      <c r="J117" s="11" t="inlineStr">
        <is>
          <t>BK-035, BK-037, BK-052, BK-024</t>
        </is>
      </c>
      <c r="K117" s="11" t="inlineStr"/>
      <c r="L117" s="11" t="inlineStr">
        <is>
          <t>; Consolidação 13/09/2026, §2</t>
        </is>
      </c>
      <c r="M117" s="11">
        <f>F117*G117</f>
        <v>0</v>
      </c>
    </row>
    <row r="118" ht="72" customHeight="1">
      <c r="A118" s="10" t="inlineStr">
        <is>
          <t>BK-112</t>
        </is>
      </c>
      <c r="B118" s="10" t="inlineStr">
        <is>
          <t>10 Verificação integrada</t>
        </is>
      </c>
      <c r="C118" s="10" t="inlineStr">
        <is>
          <t>Validar desempenho no hardware local</t>
        </is>
      </c>
      <c r="D118" s="10" t="inlineStr">
        <is>
          <t>Qualidade</t>
        </is>
      </c>
      <c r="E118" s="12" t="inlineStr">
        <is>
          <t>Não iniciada</t>
        </is>
      </c>
      <c r="F118" s="30" t="n">
        <v>1</v>
      </c>
      <c r="G118" s="31">
        <f>IF(AND(E118="Concluída",H118&lt;&gt;""),1,0)</f>
        <v>0</v>
      </c>
      <c r="H118" s="12" t="inlineStr"/>
      <c r="I118" s="10" t="inlineStr">
        <is>
          <t>Engenharia + Infraestrutura</t>
        </is>
      </c>
      <c r="J118" s="10" t="inlineStr">
        <is>
          <t>BK-110, BK-014, BK-023, BK-117</t>
        </is>
      </c>
      <c r="K118" s="10" t="inlineStr"/>
      <c r="L118" s="10" t="inlineStr"/>
      <c r="M118" s="10">
        <f>F118*G118</f>
        <v>0</v>
      </c>
    </row>
    <row r="119" ht="72" customHeight="1">
      <c r="A119" s="11" t="inlineStr">
        <is>
          <t>BK-113</t>
        </is>
      </c>
      <c r="B119" s="11" t="inlineStr">
        <is>
          <t>10 Verificação integrada</t>
        </is>
      </c>
      <c r="C119" s="11" t="inlineStr">
        <is>
          <t>Homologar todos os módulos com a Majucau</t>
        </is>
      </c>
      <c r="D119" s="11" t="inlineStr">
        <is>
          <t>Qualidade</t>
        </is>
      </c>
      <c r="E119" s="12" t="inlineStr">
        <is>
          <t>Não iniciada</t>
        </is>
      </c>
      <c r="F119" s="30" t="n">
        <v>1</v>
      </c>
      <c r="G119" s="32">
        <f>IF(AND(E119="Concluída",H119&lt;&gt;""),1,0)</f>
        <v>0</v>
      </c>
      <c r="H119" s="12" t="inlineStr"/>
      <c r="I119" s="11" t="inlineStr">
        <is>
          <t>Majucau + QA</t>
        </is>
      </c>
      <c r="J119" s="11" t="inlineStr">
        <is>
          <t>BK-110, BK-111, BK-112</t>
        </is>
      </c>
      <c r="K119" s="11" t="inlineStr"/>
      <c r="L119" s="11" t="inlineStr"/>
      <c r="M119" s="11">
        <f>F119*G119</f>
        <v>0</v>
      </c>
    </row>
    <row r="120" ht="72" customHeight="1">
      <c r="A120" s="10" t="inlineStr">
        <is>
          <t>BK-114</t>
        </is>
      </c>
      <c r="B120" s="10" t="inlineStr">
        <is>
          <t>11 Instalação, produção e sustentação</t>
        </is>
      </c>
      <c r="C120" s="10" t="inlineStr">
        <is>
          <t>Definir a topologia final da instalação local</t>
        </is>
      </c>
      <c r="D120" s="10" t="inlineStr">
        <is>
          <t>Desenvolvimento</t>
        </is>
      </c>
      <c r="E120" s="12" t="inlineStr">
        <is>
          <t>Não iniciada</t>
        </is>
      </c>
      <c r="F120" s="30" t="n">
        <v>1</v>
      </c>
      <c r="G120" s="31">
        <f>IF(AND(E120="Concluída",H120&lt;&gt;""),1,0)</f>
        <v>0</v>
      </c>
      <c r="H120" s="12" t="inlineStr"/>
      <c r="I120" s="10" t="inlineStr">
        <is>
          <t>Infraestrutura</t>
        </is>
      </c>
      <c r="J120" s="10" t="inlineStr">
        <is>
          <t>BK-014, BK-017, BK-024, BK-023</t>
        </is>
      </c>
      <c r="K120" s="10" t="inlineStr">
        <is>
          <t>F-17</t>
        </is>
      </c>
      <c r="L120" s="10" t="inlineStr">
        <is>
          <t>; Consolidação 13/09/2026, §§1–2; Fechamento vigente 13/09/2026, §7</t>
        </is>
      </c>
      <c r="M120" s="10">
        <f>F120*G120</f>
        <v>0</v>
      </c>
    </row>
    <row r="121" ht="72" customHeight="1">
      <c r="A121" s="11" t="inlineStr">
        <is>
          <t>BK-115</t>
        </is>
      </c>
      <c r="B121" s="11" t="inlineStr">
        <is>
          <t>11 Instalação, produção e sustentação</t>
        </is>
      </c>
      <c r="C121" s="11" t="inlineStr">
        <is>
          <t>Preparar o servidor e a rede local</t>
        </is>
      </c>
      <c r="D121" s="11" t="inlineStr">
        <is>
          <t>Desenvolvimento</t>
        </is>
      </c>
      <c r="E121" s="12" t="inlineStr">
        <is>
          <t>Não iniciada</t>
        </is>
      </c>
      <c r="F121" s="30" t="n">
        <v>1</v>
      </c>
      <c r="G121" s="32">
        <f>IF(AND(E121="Concluída",H121&lt;&gt;""),1,0)</f>
        <v>0</v>
      </c>
      <c r="H121" s="12" t="inlineStr"/>
      <c r="I121" s="11" t="inlineStr">
        <is>
          <t>Infraestrutura</t>
        </is>
      </c>
      <c r="J121" s="11" t="inlineStr">
        <is>
          <t>BK-114</t>
        </is>
      </c>
      <c r="K121" s="11" t="inlineStr">
        <is>
          <t>F-17</t>
        </is>
      </c>
      <c r="L121" s="11" t="inlineStr"/>
      <c r="M121" s="11">
        <f>F121*G121</f>
        <v>0</v>
      </c>
    </row>
    <row r="122" ht="72" customHeight="1">
      <c r="A122" s="10" t="inlineStr">
        <is>
          <t>BK-116</t>
        </is>
      </c>
      <c r="B122" s="10" t="inlineStr">
        <is>
          <t>11 Instalação, produção e sustentação</t>
        </is>
      </c>
      <c r="C122" s="10" t="inlineStr">
        <is>
          <t>Gerar pacote versionado de instalação</t>
        </is>
      </c>
      <c r="D122" s="10" t="inlineStr">
        <is>
          <t>Desenvolvimento</t>
        </is>
      </c>
      <c r="E122" s="12" t="inlineStr">
        <is>
          <t>Não iniciada</t>
        </is>
      </c>
      <c r="F122" s="30" t="n">
        <v>1</v>
      </c>
      <c r="G122" s="31">
        <f>IF(AND(E122="Concluída",H122&lt;&gt;""),1,0)</f>
        <v>0</v>
      </c>
      <c r="H122" s="12" t="inlineStr"/>
      <c r="I122" s="10" t="inlineStr">
        <is>
          <t>Engenharia + Infraestrutura</t>
        </is>
      </c>
      <c r="J122" s="10" t="inlineStr">
        <is>
          <t>BK-030, BK-114</t>
        </is>
      </c>
      <c r="K122" s="10" t="inlineStr"/>
      <c r="L122" s="10" t="inlineStr"/>
      <c r="M122" s="10">
        <f>F122*G122</f>
        <v>0</v>
      </c>
    </row>
    <row r="123" ht="72" customHeight="1">
      <c r="A123" s="11" t="inlineStr">
        <is>
          <t>BK-117</t>
        </is>
      </c>
      <c r="B123" s="11" t="inlineStr">
        <is>
          <t>11 Instalação, produção e sustentação</t>
        </is>
      </c>
      <c r="C123" s="11" t="inlineStr">
        <is>
          <t>Instalar ambiente local de homologação</t>
        </is>
      </c>
      <c r="D123" s="11" t="inlineStr">
        <is>
          <t>Desenvolvimento</t>
        </is>
      </c>
      <c r="E123" s="12" t="inlineStr">
        <is>
          <t>Não iniciada</t>
        </is>
      </c>
      <c r="F123" s="30" t="n">
        <v>1</v>
      </c>
      <c r="G123" s="32">
        <f>IF(AND(E123="Concluída",H123&lt;&gt;""),1,0)</f>
        <v>0</v>
      </c>
      <c r="H123" s="12" t="inlineStr"/>
      <c r="I123" s="11" t="inlineStr">
        <is>
          <t>Infraestrutura</t>
        </is>
      </c>
      <c r="J123" s="11" t="inlineStr">
        <is>
          <t>BK-115, BK-116</t>
        </is>
      </c>
      <c r="K123" s="11" t="inlineStr"/>
      <c r="L123" s="11" t="inlineStr"/>
      <c r="M123" s="11">
        <f>F123*G123</f>
        <v>0</v>
      </c>
    </row>
    <row r="124" ht="72" customHeight="1">
      <c r="A124" s="10" t="inlineStr">
        <is>
          <t>BK-118</t>
        </is>
      </c>
      <c r="B124" s="10" t="inlineStr">
        <is>
          <t>11 Instalação, produção e sustentação</t>
        </is>
      </c>
      <c r="C124" s="10" t="inlineStr">
        <is>
          <t>Configurar backup de banco, arquivos e configuração</t>
        </is>
      </c>
      <c r="D124" s="10" t="inlineStr">
        <is>
          <t>Desenvolvimento</t>
        </is>
      </c>
      <c r="E124" s="12" t="inlineStr">
        <is>
          <t>Não iniciada</t>
        </is>
      </c>
      <c r="F124" s="30" t="n">
        <v>1</v>
      </c>
      <c r="G124" s="31">
        <f>IF(AND(E124="Concluída",H124&lt;&gt;""),1,0)</f>
        <v>0</v>
      </c>
      <c r="H124" s="12" t="inlineStr"/>
      <c r="I124" s="10" t="inlineStr">
        <is>
          <t>Infraestrutura</t>
        </is>
      </c>
      <c r="J124" s="10" t="inlineStr">
        <is>
          <t>BK-014, BK-117, BK-018</t>
        </is>
      </c>
      <c r="K124" s="10" t="inlineStr">
        <is>
          <t>R-02,F-17</t>
        </is>
      </c>
      <c r="L124" s="10" t="inlineStr">
        <is>
          <t>; Consolidação 13/09/2026, §2; Fechamento vigente 13/09/2026, §7.5</t>
        </is>
      </c>
      <c r="M124" s="10">
        <f>F124*G124</f>
        <v>0</v>
      </c>
    </row>
    <row r="125" ht="72" customHeight="1">
      <c r="A125" s="11" t="inlineStr">
        <is>
          <t>BK-119</t>
        </is>
      </c>
      <c r="B125" s="11" t="inlineStr">
        <is>
          <t>11 Instalação, produção e sustentação</t>
        </is>
      </c>
      <c r="C125" s="11" t="inlineStr">
        <is>
          <t>Testar restauração e recuperação do ambiente</t>
        </is>
      </c>
      <c r="D125" s="11" t="inlineStr">
        <is>
          <t>Qualidade</t>
        </is>
      </c>
      <c r="E125" s="12" t="inlineStr">
        <is>
          <t>Não iniciada</t>
        </is>
      </c>
      <c r="F125" s="30" t="n">
        <v>1</v>
      </c>
      <c r="G125" s="32">
        <f>IF(AND(E125="Concluída",H125&lt;&gt;""),1,0)</f>
        <v>0</v>
      </c>
      <c r="H125" s="12" t="inlineStr"/>
      <c r="I125" s="11" t="inlineStr">
        <is>
          <t>Infraestrutura + QA</t>
        </is>
      </c>
      <c r="J125" s="11" t="inlineStr">
        <is>
          <t>BK-118, BK-116</t>
        </is>
      </c>
      <c r="K125" s="11" t="inlineStr">
        <is>
          <t>F-17</t>
        </is>
      </c>
      <c r="L125" s="11" t="inlineStr">
        <is>
          <t>; Consolidação 13/09/2026, §2; Fechamento vigente 13/09/2026, §7.6</t>
        </is>
      </c>
      <c r="M125" s="11">
        <f>F125*G125</f>
        <v>0</v>
      </c>
    </row>
    <row r="126" ht="72" customHeight="1">
      <c r="A126" s="10" t="inlineStr">
        <is>
          <t>BK-120</t>
        </is>
      </c>
      <c r="B126" s="10" t="inlineStr">
        <is>
          <t>11 Instalação, produção e sustentação</t>
        </is>
      </c>
      <c r="C126" s="10" t="inlineStr">
        <is>
          <t>Configurar monitoramento operacional local</t>
        </is>
      </c>
      <c r="D126" s="10" t="inlineStr">
        <is>
          <t>Desenvolvimento</t>
        </is>
      </c>
      <c r="E126" s="12" t="inlineStr">
        <is>
          <t>Não iniciada</t>
        </is>
      </c>
      <c r="F126" s="30" t="n">
        <v>1</v>
      </c>
      <c r="G126" s="31">
        <f>IF(AND(E126="Concluída",H126&lt;&gt;""),1,0)</f>
        <v>0</v>
      </c>
      <c r="H126" s="12" t="inlineStr"/>
      <c r="I126" s="10" t="inlineStr">
        <is>
          <t>Infraestrutura</t>
        </is>
      </c>
      <c r="J126" s="10" t="inlineStr">
        <is>
          <t>BK-031, BK-051, BK-118</t>
        </is>
      </c>
      <c r="K126" s="10" t="inlineStr">
        <is>
          <t>Q-26,F-17</t>
        </is>
      </c>
      <c r="L126" s="10" t="inlineStr">
        <is>
          <t>; Fechamento vigente 13/09/2026, §7.7–7.8</t>
        </is>
      </c>
      <c r="M126" s="10">
        <f>F126*G126</f>
        <v>0</v>
      </c>
    </row>
    <row r="127" ht="72" customHeight="1">
      <c r="A127" s="11" t="inlineStr">
        <is>
          <t>BK-121</t>
        </is>
      </c>
      <c r="B127" s="11" t="inlineStr">
        <is>
          <t>11 Instalação, produção e sustentação</t>
        </is>
      </c>
      <c r="C127" s="11" t="inlineStr">
        <is>
          <t>Preparar e reconciliar a carga inicial</t>
        </is>
      </c>
      <c r="D127" s="11" t="inlineStr">
        <is>
          <t>Desenvolvimento</t>
        </is>
      </c>
      <c r="E127" s="12" t="inlineStr">
        <is>
          <t>Não iniciada</t>
        </is>
      </c>
      <c r="F127" s="30" t="n">
        <v>1</v>
      </c>
      <c r="G127" s="32">
        <f>IF(AND(E127="Concluída",H127&lt;&gt;""),1,0)</f>
        <v>0</v>
      </c>
      <c r="H127" s="12" t="inlineStr"/>
      <c r="I127" s="11" t="inlineStr">
        <is>
          <t>Dados + Majucau</t>
        </is>
      </c>
      <c r="J127" s="11" t="inlineStr">
        <is>
          <t>BK-113, BK-117, BK-044</t>
        </is>
      </c>
      <c r="K127" s="11" t="inlineStr"/>
      <c r="L127" s="11" t="inlineStr">
        <is>
          <t>; Consolidação 13/09/2026, §§1–2; pendência 9</t>
        </is>
      </c>
      <c r="M127" s="11">
        <f>F127*G127</f>
        <v>0</v>
      </c>
    </row>
    <row r="128" ht="72" customHeight="1">
      <c r="A128" s="10" t="inlineStr">
        <is>
          <t>BK-122</t>
        </is>
      </c>
      <c r="B128" s="10" t="inlineStr">
        <is>
          <t>11 Instalação, produção e sustentação</t>
        </is>
      </c>
      <c r="C128" s="10" t="inlineStr">
        <is>
          <t>Ensaiar atualização e retorno à versão anterior</t>
        </is>
      </c>
      <c r="D128" s="10" t="inlineStr">
        <is>
          <t>Desenvolvimento</t>
        </is>
      </c>
      <c r="E128" s="12" t="inlineStr">
        <is>
          <t>Não iniciada</t>
        </is>
      </c>
      <c r="F128" s="30" t="n">
        <v>1</v>
      </c>
      <c r="G128" s="31">
        <f>IF(AND(E128="Concluída",H128&lt;&gt;""),1,0)</f>
        <v>0</v>
      </c>
      <c r="H128" s="12" t="inlineStr"/>
      <c r="I128" s="10" t="inlineStr">
        <is>
          <t>Infraestrutura + Engenharia</t>
        </is>
      </c>
      <c r="J128" s="10" t="inlineStr">
        <is>
          <t>BK-116, BK-119</t>
        </is>
      </c>
      <c r="K128" s="10" t="inlineStr"/>
      <c r="L128" s="10" t="inlineStr"/>
      <c r="M128" s="10">
        <f>F128*G128</f>
        <v>0</v>
      </c>
    </row>
    <row r="129" ht="72" customHeight="1">
      <c r="A129" s="11" t="inlineStr">
        <is>
          <t>BK-123</t>
        </is>
      </c>
      <c r="B129" s="11" t="inlineStr">
        <is>
          <t>11 Instalação, produção e sustentação</t>
        </is>
      </c>
      <c r="C129" s="11" t="inlineStr">
        <is>
          <t>Documentar e treinar a rotina da Majucau</t>
        </is>
      </c>
      <c r="D129" s="11" t="inlineStr">
        <is>
          <t>Desenvolvimento</t>
        </is>
      </c>
      <c r="E129" s="12" t="inlineStr">
        <is>
          <t>Não iniciada</t>
        </is>
      </c>
      <c r="F129" s="30" t="n">
        <v>1</v>
      </c>
      <c r="G129" s="32">
        <f>IF(AND(E129="Concluída",H129&lt;&gt;""),1,0)</f>
        <v>0</v>
      </c>
      <c r="H129" s="12" t="inlineStr"/>
      <c r="I129" s="11" t="inlineStr">
        <is>
          <t>Produto + Infraestrutura + Majucau</t>
        </is>
      </c>
      <c r="J129" s="11" t="inlineStr">
        <is>
          <t>BK-113, BK-120, BK-122</t>
        </is>
      </c>
      <c r="K129" s="11" t="inlineStr">
        <is>
          <t>F-17,F-19</t>
        </is>
      </c>
      <c r="L129" s="11" t="inlineStr">
        <is>
          <t>; Consolidação 13/09/2026, §§1–2,10; Fechamento vigente 13/09/2026, §§7–8</t>
        </is>
      </c>
      <c r="M129" s="11">
        <f>F129*G129</f>
        <v>0</v>
      </c>
    </row>
    <row r="130" ht="72" customHeight="1">
      <c r="A130" s="10" t="inlineStr">
        <is>
          <t>BK-124</t>
        </is>
      </c>
      <c r="B130" s="10" t="inlineStr">
        <is>
          <t>11 Instalação, produção e sustentação</t>
        </is>
      </c>
      <c r="C130" s="10" t="inlineStr">
        <is>
          <t>Verificar os critérios de entrada em produção</t>
        </is>
      </c>
      <c r="D130" s="10" t="inlineStr">
        <is>
          <t>Qualidade</t>
        </is>
      </c>
      <c r="E130" s="12" t="inlineStr">
        <is>
          <t>Não iniciada</t>
        </is>
      </c>
      <c r="F130" s="30" t="n">
        <v>1</v>
      </c>
      <c r="G130" s="31">
        <f>IF(AND(E130="Concluída",H130&lt;&gt;""),1,0)</f>
        <v>0</v>
      </c>
      <c r="H130" s="12" t="inlineStr"/>
      <c r="I130" s="10" t="inlineStr">
        <is>
          <t>Majucau + Liderança técnica</t>
        </is>
      </c>
      <c r="J130" s="10" t="inlineStr">
        <is>
          <t>BK-121, BK-111, BK-119, BK-122, BK-123, BK-120</t>
        </is>
      </c>
      <c r="K130" s="10" t="inlineStr"/>
      <c r="L130" s="10" t="inlineStr"/>
      <c r="M130" s="10">
        <f>F130*G130</f>
        <v>0</v>
      </c>
    </row>
    <row r="131" ht="72" customHeight="1">
      <c r="A131" s="11" t="inlineStr">
        <is>
          <t>BK-125</t>
        </is>
      </c>
      <c r="B131" s="11" t="inlineStr">
        <is>
          <t>11 Instalação, produção e sustentação</t>
        </is>
      </c>
      <c r="C131" s="11" t="inlineStr">
        <is>
          <t>Instalar e ativar a primeira versão em produção local</t>
        </is>
      </c>
      <c r="D131" s="11" t="inlineStr">
        <is>
          <t>Produção</t>
        </is>
      </c>
      <c r="E131" s="12" t="inlineStr">
        <is>
          <t>Não iniciada</t>
        </is>
      </c>
      <c r="F131" s="30" t="n">
        <v>1</v>
      </c>
      <c r="G131" s="32">
        <f>IF(AND(E131="Concluída",H131&lt;&gt;""),1,0)</f>
        <v>0</v>
      </c>
      <c r="H131" s="12" t="inlineStr"/>
      <c r="I131" s="11" t="inlineStr">
        <is>
          <t>Infraestrutura + Engenharia</t>
        </is>
      </c>
      <c r="J131" s="11" t="inlineStr">
        <is>
          <t>BK-124</t>
        </is>
      </c>
      <c r="K131" s="11" t="inlineStr"/>
      <c r="L131" s="11" t="inlineStr"/>
      <c r="M131" s="11">
        <f>F131*G131</f>
        <v>0</v>
      </c>
    </row>
    <row r="132" ht="72" customHeight="1">
      <c r="A132" s="10" t="inlineStr">
        <is>
          <t>BK-126</t>
        </is>
      </c>
      <c r="B132" s="10" t="inlineStr">
        <is>
          <t>11 Instalação, produção e sustentação</t>
        </is>
      </c>
      <c r="C132" s="10" t="inlineStr">
        <is>
          <t>Acompanhar os primeiros ciclos reais e encerrar a entrega</t>
        </is>
      </c>
      <c r="D132" s="10" t="inlineStr">
        <is>
          <t>Produção</t>
        </is>
      </c>
      <c r="E132" s="12" t="inlineStr">
        <is>
          <t>Não iniciada</t>
        </is>
      </c>
      <c r="F132" s="30" t="n">
        <v>1</v>
      </c>
      <c r="G132" s="31">
        <f>IF(AND(E132="Concluída",H132&lt;&gt;""),1,0)</f>
        <v>0</v>
      </c>
      <c r="H132" s="12" t="inlineStr"/>
      <c r="I132" s="10" t="inlineStr">
        <is>
          <t>Majucau + Engenharia + Infraestrutura</t>
        </is>
      </c>
      <c r="J132" s="10" t="inlineStr">
        <is>
          <t>BK-125</t>
        </is>
      </c>
      <c r="K132" s="10" t="inlineStr"/>
      <c r="L132" s="10" t="inlineStr"/>
      <c r="M132" s="10">
        <f>F132*G132</f>
        <v>0</v>
      </c>
    </row>
  </sheetData>
  <conditionalFormatting sqref="E6:H132">
    <cfRule type="expression" priority="1" dxfId="0">
      <formula>AND($E6="Concluída",$H6="")</formula>
    </cfRule>
  </conditionalFormatting>
  <dataValidations count="2">
    <dataValidation sqref="E6:E132" showDropDown="0" showInputMessage="0" showErrorMessage="0" allowBlank="0" type="list">
      <formula1>"Não iniciada,Aguarda decisão,Em andamento,Em validação,Bloqueada,Concluída"</formula1>
    </dataValidation>
    <dataValidation sqref="F6:F132" showDropDown="0" showInputMessage="0" showErrorMessage="0" allowBlank="0" type="whole" operator="between">
      <formula1>1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.380000114440918" customWidth="1" min="1" max="1"/>
    <col width="23.1299991607666" customWidth="1" min="2" max="2"/>
    <col width="23.1299991607666" customWidth="1" min="3" max="3"/>
    <col width="70" customWidth="1" min="4" max="4"/>
    <col width="42.5" customWidth="1" min="5" max="5"/>
    <col width="60" customWidth="1" min="6" max="6"/>
    <col width="34.38000106811523" customWidth="1" min="7" max="7"/>
    <col width="28.75" customWidth="1" min="8" max="8"/>
    <col width="31.8799991607666" customWidth="1" min="9" max="9"/>
  </cols>
  <sheetData>
    <row r="1" ht="28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</row>
    <row r="2" ht="28" customHeight="1">
      <c r="A2" s="3" t="inlineStr">
        <is>
          <t>Majucau — regras e verificações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8" customHeight="1">
      <c r="A3" s="2" t="inlineStr">
        <is>
          <t>Regras funcionais fechadas. Execução técnica e localização de referências são acompanhadas sem reabrir o negócio.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2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34" customHeight="1">
      <c r="A5" s="8" t="inlineStr">
        <is>
          <t>ID</t>
        </is>
      </c>
      <c r="B5" s="8" t="inlineStr">
        <is>
          <t>Tema</t>
        </is>
      </c>
      <c r="C5" s="8" t="inlineStr">
        <is>
          <t>Situação</t>
        </is>
      </c>
      <c r="D5" s="8" t="inlineStr">
        <is>
          <t>Definição / verificação necessária</t>
        </is>
      </c>
      <c r="E5" s="8" t="inlineStr">
        <is>
          <t>Impacto</t>
        </is>
      </c>
      <c r="F5" s="8" t="inlineStr">
        <is>
          <t>Resposta registrada</t>
        </is>
      </c>
      <c r="G5" s="8" t="inlineStr">
        <is>
          <t>Fonte</t>
        </is>
      </c>
      <c r="H5" s="8" t="inlineStr">
        <is>
          <t>Tarefas</t>
        </is>
      </c>
      <c r="I5" s="8" t="inlineStr">
        <is>
          <t>Natureza</t>
        </is>
      </c>
    </row>
    <row r="6" ht="95" customHeight="1">
      <c r="A6" s="10" t="inlineStr">
        <is>
          <t>D-01</t>
        </is>
      </c>
      <c r="B6" s="10" t="inlineStr">
        <is>
          <t>Empresa atendida</t>
        </is>
      </c>
      <c r="C6" s="12" t="inlineStr">
        <is>
          <t>Definida</t>
        </is>
      </c>
      <c r="D6" s="10" t="inlineStr">
        <is>
          <t>Definição vigente e trabalho técnico vinculado.</t>
        </is>
      </c>
      <c r="E6" s="10" t="inlineStr">
        <is>
          <t>Aplicar a definição vigente; execução, evidência e aceite são registrados nas tarefas relacionadas.</t>
        </is>
      </c>
      <c r="F6" s="12" t="inlineStr">
        <is>
          <t>Somente Majucau. A resposta anterior sobre várias empresas foi corrigida pelo usuário.</t>
        </is>
      </c>
      <c r="G6" s="10" t="inlineStr">
        <is>
          <t>Conversa atual; Fechamento das questões ainda tratadas como abertas — 13/09/2026</t>
        </is>
      </c>
      <c r="H6" s="10" t="inlineStr"/>
      <c r="I6" s="10" t="inlineStr">
        <is>
          <t>Regra/atribuição definida</t>
        </is>
      </c>
    </row>
    <row r="7" ht="95" customHeight="1">
      <c r="A7" s="11" t="inlineStr">
        <is>
          <t>D-02</t>
        </is>
      </c>
      <c r="B7" s="11" t="inlineStr">
        <is>
          <t>Usuários</t>
        </is>
      </c>
      <c r="C7" s="12" t="inlineStr">
        <is>
          <t>Definida</t>
        </is>
      </c>
      <c r="D7" s="11" t="inlineStr">
        <is>
          <t>Definição vigente e trabalho técnico vinculado.</t>
        </is>
      </c>
      <c r="E7" s="11" t="inlineStr">
        <is>
          <t>Aplicar a definição vigente; execução, evidência e aceite são registrados nas tarefas relacionadas.</t>
        </is>
      </c>
      <c r="F7" s="12" t="inlineStr">
        <is>
          <t>Três pessoas da diretoria, cada uma em seu computador.</t>
        </is>
      </c>
      <c r="G7" s="11" t="inlineStr">
        <is>
          <t>Conversa atual; Fechamento das questões ainda tratadas como abertas — 13/09/2026</t>
        </is>
      </c>
      <c r="H7" s="11" t="inlineStr"/>
      <c r="I7" s="11" t="inlineStr">
        <is>
          <t>Regra/atribuição definida</t>
        </is>
      </c>
    </row>
    <row r="8" ht="95" customHeight="1">
      <c r="A8" s="10" t="inlineStr">
        <is>
          <t>D-03</t>
        </is>
      </c>
      <c r="B8" s="10" t="inlineStr">
        <is>
          <t>Hospedagem</t>
        </is>
      </c>
      <c r="C8" s="12" t="inlineStr">
        <is>
          <t>Definida</t>
        </is>
      </c>
      <c r="D8" s="10" t="inlineStr">
        <is>
          <t>Definição vigente e trabalho técnico vinculado.</t>
        </is>
      </c>
      <c r="E8" s="10" t="inlineStr">
        <is>
          <t>Aplicar a definição vigente; execução, evidência e aceite são registrados nas tarefas relacionadas.</t>
        </is>
      </c>
      <c r="F8" s="12" t="inlineStr">
        <is>
          <t>Local, em computador/servidor Windows existente. Demais características ainda desconhecidas.</t>
        </is>
      </c>
      <c r="G8" s="10" t="inlineStr">
        <is>
          <t>Conversa atual; Fechamento das questões ainda tratadas como abertas — 13/09/2026</t>
        </is>
      </c>
      <c r="H8" s="10" t="inlineStr"/>
      <c r="I8" s="10" t="inlineStr">
        <is>
          <t>Regra/atribuição definida</t>
        </is>
      </c>
    </row>
    <row r="9" ht="95" customHeight="1">
      <c r="A9" s="11" t="inlineStr">
        <is>
          <t>D-04</t>
        </is>
      </c>
      <c r="B9" s="11" t="inlineStr">
        <is>
          <t>Primeira produção</t>
        </is>
      </c>
      <c r="C9" s="12" t="inlineStr">
        <is>
          <t>Definida</t>
        </is>
      </c>
      <c r="D9" s="11" t="inlineStr">
        <is>
          <t>Definição vigente e trabalho técnico vinculado.</t>
        </is>
      </c>
      <c r="E9" s="11" t="inlineStr">
        <is>
          <t>Aplicar a definição vigente; execução, evidência e aceite são registrados nas tarefas relacionadas.</t>
        </is>
      </c>
      <c r="F9" s="12" t="inlineStr">
        <is>
          <t>Todos os módulos confirmados do material na primeira entrada em produção; etapas internas são permitidas para organizar o trabalho.</t>
        </is>
      </c>
      <c r="G9" s="11" t="inlineStr">
        <is>
          <t>Conversa atual; Fechamento das questões ainda tratadas como abertas — 13/09/2026</t>
        </is>
      </c>
      <c r="H9" s="11" t="inlineStr"/>
      <c r="I9" s="11" t="inlineStr">
        <is>
          <t>Regra/atribuição definida</t>
        </is>
      </c>
    </row>
    <row r="10" ht="95" customHeight="1">
      <c r="A10" s="10" t="inlineStr">
        <is>
          <t>D-05</t>
        </is>
      </c>
      <c r="B10" s="10" t="inlineStr">
        <is>
          <t>Conflitos entre fontes</t>
        </is>
      </c>
      <c r="C10" s="12" t="inlineStr">
        <is>
          <t>Definida</t>
        </is>
      </c>
      <c r="D10" s="10" t="inlineStr">
        <is>
          <t>Definição vigente e trabalho técnico vinculado.</t>
        </is>
      </c>
      <c r="E10" s="10" t="inlineStr">
        <is>
          <t>Aplicar a definição vigente; execução, evidência e aceite são registrados nas tarefas relacionadas.</t>
        </is>
      </c>
      <c r="F10" s="12" t="inlineStr">
        <is>
          <t>Precedência atual: mockup aprovado define visual; documentação consolidada define cálculo, fonte e comportamento; última versão aprovada/congelada prevalece. A orientação anterior de decidir cada conflito caso a caso foi substituída nos pontos fechados.</t>
        </is>
      </c>
      <c r="G10" s="10" t="inlineStr">
        <is>
          <t>Conversa atual; Fechamento das questões ainda tratadas como abertas — 13/09/2026</t>
        </is>
      </c>
      <c r="H10" s="10" t="inlineStr"/>
      <c r="I10" s="10" t="inlineStr">
        <is>
          <t>Regra/atribuição definida</t>
        </is>
      </c>
    </row>
    <row r="11" ht="95" customHeight="1">
      <c r="A11" s="11" t="inlineStr">
        <is>
          <t>D-06</t>
        </is>
      </c>
      <c r="B11" s="11" t="inlineStr">
        <is>
          <t>Tecnologias</t>
        </is>
      </c>
      <c r="C11" s="12" t="inlineStr">
        <is>
          <t>Definida</t>
        </is>
      </c>
      <c r="D11" s="11" t="inlineStr">
        <is>
          <t>Definição vigente e trabalho técnico vinculado.</t>
        </is>
      </c>
      <c r="E11" s="11" t="inlineStr">
        <is>
          <t>Aplicar a definição vigente; execução, evidência e aceite são registrados nas tarefas relacionadas.</t>
        </is>
      </c>
      <c r="F11" s="12" t="inlineStr">
        <is>
          <t>Monólito com DDD e arquitetura hexagonal; backend Go; frontend React + TypeScript + Vite.</t>
        </is>
      </c>
      <c r="G11" s="11" t="inlineStr">
        <is>
          <t>Conversa atual; Fechamento das questões ainda tratadas como abertas — 13/09/2026</t>
        </is>
      </c>
      <c r="H11" s="11" t="inlineStr"/>
      <c r="I11" s="11" t="inlineStr">
        <is>
          <t>Regra/atribuição definida</t>
        </is>
      </c>
    </row>
    <row r="12" ht="95" customHeight="1">
      <c r="A12" s="10" t="inlineStr">
        <is>
          <t>D-07</t>
        </is>
      </c>
      <c r="B12" s="10" t="inlineStr">
        <is>
          <t>Balanço Patrimonial</t>
        </is>
      </c>
      <c r="C12" s="12" t="inlineStr">
        <is>
          <t>Definida</t>
        </is>
      </c>
      <c r="D12" s="10" t="inlineStr">
        <is>
          <t>Definição vigente e trabalho técnico vinculado.</t>
        </is>
      </c>
      <c r="E12" s="10" t="inlineStr">
        <is>
          <t>Aplicar a definição vigente; execução, evidência e aceite são registrados nas tarefas relacionadas.</t>
        </is>
      </c>
      <c r="F12" s="12" t="inlineStr">
        <is>
          <t>Fora da primeira versão; retirar o item dos menus por decisão explícita do usuário.</t>
        </is>
      </c>
      <c r="G12" s="10" t="inlineStr">
        <is>
          <t>Conversa atual; Fechamento das questões ainda tratadas como abertas — 13/09/2026</t>
        </is>
      </c>
      <c r="H12" s="10" t="inlineStr"/>
      <c r="I12" s="10" t="inlineStr">
        <is>
          <t>Regra/atribuição definida</t>
        </is>
      </c>
    </row>
    <row r="13" ht="95" customHeight="1">
      <c r="A13" s="11" t="inlineStr">
        <is>
          <t>D-08</t>
        </is>
      </c>
      <c r="B13" s="11" t="inlineStr">
        <is>
          <t>Natureza desta entrega</t>
        </is>
      </c>
      <c r="C13" s="12" t="inlineStr">
        <is>
          <t>Definida</t>
        </is>
      </c>
      <c r="D13" s="11" t="inlineStr">
        <is>
          <t>Definição vigente e trabalho técnico vinculado.</t>
        </is>
      </c>
      <c r="E13" s="11" t="inlineStr">
        <is>
          <t>Aplicar a definição vigente; execução, evidência e aceite são registrados nas tarefas relacionadas.</t>
        </is>
      </c>
      <c r="F13" s="12" t="inlineStr">
        <is>
          <t>Somente atualização do backlog nesta rodada, confirmado expressamente pelo usuário após o envio do fechamento. Implementação e validação real são tarefas futuras.</t>
        </is>
      </c>
      <c r="G13" s="11" t="inlineStr">
        <is>
          <t>Conversa atual; Fechamento das questões ainda tratadas como abertas — 13/09/2026</t>
        </is>
      </c>
      <c r="H13" s="11" t="inlineStr"/>
      <c r="I13" s="11" t="inlineStr">
        <is>
          <t>Regra/atribuição definida</t>
        </is>
      </c>
    </row>
    <row r="14" ht="95" customHeight="1">
      <c r="A14" s="10" t="inlineStr">
        <is>
          <t>C-01</t>
        </is>
      </c>
      <c r="B14" s="10" t="inlineStr">
        <is>
          <t>Pagamento diferente do título</t>
        </is>
      </c>
      <c r="C14" s="12" t="inlineStr">
        <is>
          <t>Definida</t>
        </is>
      </c>
      <c r="D14" s="10" t="inlineStr">
        <is>
          <t>Definição vigente e trabalho técnico vinculado.</t>
        </is>
      </c>
      <c r="E14" s="10" t="inlineStr">
        <is>
          <t>Aplicar a definição vigente; execução, evidência e aceite são registrados nas tarefas relacionadas.</t>
        </is>
      </c>
      <c r="F14" s="12" t="inlineStr">
        <is>
          <t>Marcar divergência e manter o título sem baixa até a análise. Casos complementares serão detalhados em BK-005.</t>
        </is>
      </c>
      <c r="G14" s="10" t="inlineStr">
        <is>
          <t>C_Conflitos!A3:L3; Fechamento das questões ainda tratadas como abertas — 13/09/2026</t>
        </is>
      </c>
      <c r="H14" s="10" t="inlineStr">
        <is>
          <t>BK-005</t>
        </is>
      </c>
      <c r="I14" s="10" t="inlineStr">
        <is>
          <t>Regra/atribuição definida</t>
        </is>
      </c>
    </row>
    <row r="15" ht="95" customHeight="1">
      <c r="A15" s="11" t="inlineStr">
        <is>
          <t>C-02</t>
        </is>
      </c>
      <c r="B15" s="11" t="inlineStr">
        <is>
          <t>Semana crítica</t>
        </is>
      </c>
      <c r="C15" s="12" t="inlineStr">
        <is>
          <t>Definida</t>
        </is>
      </c>
      <c r="D15" s="11" t="inlineStr">
        <is>
          <t>Definição vigente e trabalho técnico vinculado.</t>
        </is>
      </c>
      <c r="E15" s="11" t="inlineStr">
        <is>
          <t>Aplicar a definição vigente; execução, evidência e aceite são registrados nas tarefas relacionadas.</t>
        </is>
      </c>
      <c r="F15" s="12" t="inlineStr">
        <is>
          <t>A semana com o maior total de despesas. A posição de caixa dentro dela ainda precisa ser definida.</t>
        </is>
      </c>
      <c r="G15" s="11" t="inlineStr">
        <is>
          <t>C_Conflitos!A4:L4; Fechamento das questões ainda tratadas como abertas — 13/09/2026</t>
        </is>
      </c>
      <c r="H15" s="11" t="inlineStr"/>
      <c r="I15" s="11" t="inlineStr">
        <is>
          <t>Regra/atribuição definida</t>
        </is>
      </c>
    </row>
    <row r="16" ht="95" customHeight="1">
      <c r="A16" s="10" t="inlineStr">
        <is>
          <t>C-03</t>
        </is>
      </c>
      <c r="B16" s="10" t="inlineStr">
        <is>
          <t>Lucro elegível</t>
        </is>
      </c>
      <c r="C16" s="12" t="inlineStr">
        <is>
          <t>Definida</t>
        </is>
      </c>
      <c r="D16" s="10" t="inlineStr">
        <is>
          <t>Definição vigente e trabalho técnico vinculado.</t>
        </is>
      </c>
      <c r="E16" s="10" t="inlineStr">
        <is>
          <t>Aplicar a definição vigente; execução, evidência e aceite são registrados nas tarefas relacionadas.</t>
        </is>
      </c>
      <c r="F16" s="12" t="inlineStr">
        <is>
          <t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t>
        </is>
      </c>
      <c r="G16" s="10" t="inlineStr">
        <is>
          <t>C_Conflitos!A5:L5; Consolidação das respostas do desenvolvimento — enviada pelo usuário em 13/09/2026; Fechamento das questões ainda tratadas como abertas — 13/09/2026</t>
        </is>
      </c>
      <c r="H16" s="10" t="inlineStr"/>
      <c r="I16" s="10" t="inlineStr">
        <is>
          <t>Regra/atribuição definida</t>
        </is>
      </c>
    </row>
    <row r="17" ht="95" customHeight="1">
      <c r="A17" s="11" t="inlineStr">
        <is>
          <t>L-01</t>
        </is>
      </c>
      <c r="B17" s="11" t="inlineStr">
        <is>
          <t>Gate formal</t>
        </is>
      </c>
      <c r="C17" s="12" t="inlineStr">
        <is>
          <t>Definida</t>
        </is>
      </c>
      <c r="D17" s="11" t="inlineStr">
        <is>
          <t>Definição vigente e trabalho técnico vinculado.</t>
        </is>
      </c>
      <c r="E17" s="11" t="inlineStr">
        <is>
          <t>Aplicar a definição vigente; execução, evidência e aceite são registrados nas tarefas relacionadas.</t>
        </is>
      </c>
      <c r="F17" s="12" t="inlineStr">
        <is>
          <t>Usuário confirmou somente atualização do backlog nesta rodada; o fechamento funcional não representa implementação executada.</t>
        </is>
      </c>
      <c r="G17" s="11" t="inlineStr">
        <is>
          <t>D_Lacunas!A3:G3; Fechamento das questões ainda tratadas como abertas — 13/09/2026</t>
        </is>
      </c>
      <c r="H17" s="11" t="inlineStr"/>
      <c r="I17" s="11" t="inlineStr">
        <is>
          <t>Regra/atribuição definida</t>
        </is>
      </c>
    </row>
    <row r="18" ht="95" customHeight="1">
      <c r="A18" s="10" t="inlineStr">
        <is>
          <t>L-02</t>
        </is>
      </c>
      <c r="B18" s="10" t="inlineStr">
        <is>
          <t>Sistema atual</t>
        </is>
      </c>
      <c r="C18" s="12" t="inlineStr">
        <is>
          <t>Execução técnica pendente</t>
        </is>
      </c>
      <c r="D18" s="10" t="inlineStr">
        <is>
          <t>Definição vigente e trabalho técnico vinculado.</t>
        </is>
      </c>
      <c r="E18" s="10" t="inlineStr">
        <is>
          <t>Aplicar a definição vigente; execução, evidência e aceite são registrados nas tarefas relacionadas.</t>
        </is>
      </c>
      <c r="F18" s="12" t="inlineStr">
        <is>
          <t>Verificar tecnicamente a origem e evidências do item; não é nova pergunta de negócio.</t>
        </is>
      </c>
      <c r="G18" s="10" t="inlineStr">
        <is>
          <t>D_Lacunas!A4:G4; Fechamento das questões ainda tratadas como abertas — 13/09/2026</t>
        </is>
      </c>
      <c r="H18" s="10" t="inlineStr"/>
      <c r="I18" s="10" t="inlineStr">
        <is>
          <t>Execução técnica</t>
        </is>
      </c>
    </row>
    <row r="19" ht="95" customHeight="1">
      <c r="A19" s="11" t="inlineStr">
        <is>
          <t>L-03</t>
        </is>
      </c>
      <c r="B19" s="11" t="inlineStr">
        <is>
          <t>CMV histórico</t>
        </is>
      </c>
      <c r="C19" s="12" t="inlineStr">
        <is>
          <t>Execução técnica pendente</t>
        </is>
      </c>
      <c r="D19" s="11" t="inlineStr">
        <is>
          <t>Definição vigente e trabalho técnico vinculado.</t>
        </is>
      </c>
      <c r="E19" s="11" t="inlineStr">
        <is>
          <t>Aplicar a definição vigente; execução, evidência e aceite são registrados nas tarefas relacionadas.</t>
        </is>
      </c>
      <c r="F19" s="12" t="inlineStr">
        <is>
          <t>Verificar tecnicamente a origem e evidências do item; não é nova pergunta de negócio.</t>
        </is>
      </c>
      <c r="G19" s="11" t="inlineStr">
        <is>
          <t>D_Lacunas!A5:G5; Consolidação das respostas do desenvolvimento — enviada pelo usuário em 13/09/2026; Fechamento das questões ainda tratadas como abertas — 13/09/2026</t>
        </is>
      </c>
      <c r="H19" s="11" t="inlineStr">
        <is>
          <t>BK-007</t>
        </is>
      </c>
      <c r="I19" s="11" t="inlineStr">
        <is>
          <t>Execução técnica</t>
        </is>
      </c>
    </row>
    <row r="20" ht="95" customHeight="1">
      <c r="A20" s="10" t="inlineStr">
        <is>
          <t>L-04</t>
        </is>
      </c>
      <c r="B20" s="10" t="inlineStr">
        <is>
          <t>Perdas — competência</t>
        </is>
      </c>
      <c r="C20" s="12" t="inlineStr">
        <is>
          <t>Definida</t>
        </is>
      </c>
      <c r="D20" s="10" t="inlineStr">
        <is>
          <t>Definição vigente e trabalho técnico vinculado.</t>
        </is>
      </c>
      <c r="E20" s="10" t="inlineStr">
        <is>
          <t>Aplicar a definição vigente; execução, evidência e aceite são registrados nas tarefas relacionadas.</t>
        </is>
      </c>
      <c r="F20" s="12" t="inlineStr">
        <is>
          <t>Perdas operacionais vêm da fonte própria; só entram na DRE quando documento/fato econômico e mapeamento contábil aprovado justificarem. Caixa e competência são registrados separadamente; não incluir por inferência.</t>
        </is>
      </c>
      <c r="G20" s="10" t="inlineStr">
        <is>
          <t>D_Lacunas!A6:G6; Fechamento das questões ainda tratadas como abertas — 13/09/2026</t>
        </is>
      </c>
      <c r="H20" s="10" t="inlineStr">
        <is>
          <t>BK-007</t>
        </is>
      </c>
      <c r="I20" s="10" t="inlineStr">
        <is>
          <t>Regra/atribuição definida</t>
        </is>
      </c>
    </row>
    <row r="21" ht="95" customHeight="1">
      <c r="A21" s="11" t="inlineStr">
        <is>
          <t>L-05</t>
        </is>
      </c>
      <c r="B21" s="11" t="inlineStr">
        <is>
          <t>Juros Nuvem</t>
        </is>
      </c>
      <c r="C21" s="12" t="inlineStr">
        <is>
          <t>Definida</t>
        </is>
      </c>
      <c r="D21" s="11" t="inlineStr">
        <is>
          <t>Definição vigente e trabalho técnico vinculado.</t>
        </is>
      </c>
      <c r="E21" s="11" t="inlineStr">
        <is>
          <t>Aplicar a definição vigente; execução, evidência e aceite são registrados nas tarefas relacionadas.</t>
        </is>
      </c>
      <c r="F21" s="12" t="inlineStr">
        <is>
          <t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t>
        </is>
      </c>
      <c r="G21" s="11" t="inlineStr">
        <is>
          <t>D_Lacunas!A7:G7; Fechamento das questões ainda tratadas como abertas — 13/09/2026</t>
        </is>
      </c>
      <c r="H21" s="11" t="inlineStr">
        <is>
          <t>BK-007</t>
        </is>
      </c>
      <c r="I21" s="11" t="inlineStr">
        <is>
          <t>Regra/atribuição definida</t>
        </is>
      </c>
    </row>
    <row r="22" ht="95" customHeight="1">
      <c r="A22" s="10" t="inlineStr">
        <is>
          <t>L-06</t>
        </is>
      </c>
      <c r="B22" s="10" t="inlineStr">
        <is>
          <t>Tarifa fixa Pricing</t>
        </is>
      </c>
      <c r="C22" s="12" t="inlineStr">
        <is>
          <t>Definida</t>
        </is>
      </c>
      <c r="D22" s="10" t="inlineStr">
        <is>
          <t>Definição vigente e trabalho técnico vinculado.</t>
        </is>
      </c>
      <c r="E22" s="10" t="inlineStr">
        <is>
          <t>Aplicar a definição vigente; execução, evidência e aceite são registrados nas tarefas relacionadas.</t>
        </is>
      </c>
      <c r="F22" s="12" t="inlineStr">
        <is>
          <t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t>
        </is>
      </c>
      <c r="G22" s="10" t="inlineStr">
        <is>
          <t>D_Lacunas!A8:G8; Fechamento das questões ainda tratadas como abertas — 13/09/2026</t>
        </is>
      </c>
      <c r="H22" s="10" t="inlineStr">
        <is>
          <t>BK-075</t>
        </is>
      </c>
      <c r="I22" s="10" t="inlineStr">
        <is>
          <t>Regra/atribuição definida</t>
        </is>
      </c>
    </row>
    <row r="23" ht="95" customHeight="1">
      <c r="A23" s="11" t="inlineStr">
        <is>
          <t>L-07</t>
        </is>
      </c>
      <c r="B23" s="11" t="inlineStr">
        <is>
          <t>Caixa da semana crítica</t>
        </is>
      </c>
      <c r="C23" s="12" t="inlineStr">
        <is>
          <t>Definida</t>
        </is>
      </c>
      <c r="D23" s="11" t="inlineStr">
        <is>
          <t>Definição vigente e trabalho técnico vinculado.</t>
        </is>
      </c>
      <c r="E23" s="11" t="inlineStr">
        <is>
          <t>Aplicar a definição vigente; execução, evidência e aceite são registrados nas tarefas relacionadas.</t>
        </is>
      </c>
      <c r="F23" s="12" t="inlineStr">
        <is>
          <t>A calculadora está fechada. Localizar tecnicamente o contrato/campo Caixa Semana Crítica na referência vigente; não escolher início/fim/mínimo sem evidência. Não retornar como pergunta financeira.</t>
        </is>
      </c>
      <c r="G23" s="11" t="inlineStr">
        <is>
          <t>D_Lacunas!A9:G9; Fechamento das questões ainda tratadas como abertas — 13/09/2026</t>
        </is>
      </c>
      <c r="H23" s="11" t="inlineStr">
        <is>
          <t>BK-006</t>
        </is>
      </c>
      <c r="I23" s="11" t="inlineStr">
        <is>
          <t>Regra/atribuição definida</t>
        </is>
      </c>
    </row>
    <row r="24" ht="95" customHeight="1">
      <c r="A24" s="10" t="inlineStr">
        <is>
          <t>L-08</t>
        </is>
      </c>
      <c r="B24" s="10" t="inlineStr">
        <is>
          <t>Balancete — saldos iniciais</t>
        </is>
      </c>
      <c r="C24" s="12" t="inlineStr">
        <is>
          <t>Definida</t>
        </is>
      </c>
      <c r="D24" s="10" t="inlineStr">
        <is>
          <t>Definição vigente e trabalho técnico vinculado.</t>
        </is>
      </c>
      <c r="E24" s="10" t="inlineStr">
        <is>
          <t>Aplicar a definição vigente; execução, evidência e aceite são registrados nas tarefas relacionadas.</t>
        </is>
      </c>
      <c r="F24" s="12" t="inlineStr">
        <is>
          <t>Reproduzir balancete existente no Bling com campos reais, competência e classificação. Dado específico não acessível pela API permanece indisponível.</t>
        </is>
      </c>
      <c r="G24" s="10" t="inlineStr">
        <is>
          <t>D_Lacunas!A10:G10; Consolidação das respostas do desenvolvimento — enviada pelo usuário em 13/09/2026; Fechamento das questões ainda tratadas como abertas — 13/09/2026</t>
        </is>
      </c>
      <c r="H24" s="10" t="inlineStr">
        <is>
          <t>BK-007</t>
        </is>
      </c>
      <c r="I24" s="10" t="inlineStr">
        <is>
          <t>Regra/atribuição definida</t>
        </is>
      </c>
    </row>
    <row r="25" ht="95" customHeight="1">
      <c r="A25" s="11" t="inlineStr">
        <is>
          <t>L-09</t>
        </is>
      </c>
      <c r="B25" s="11" t="inlineStr">
        <is>
          <t>DRE — fontes complementares</t>
        </is>
      </c>
      <c r="C25" s="12" t="inlineStr">
        <is>
          <t>Definida</t>
        </is>
      </c>
      <c r="D25" s="11" t="inlineStr">
        <is>
          <t>Definição vigente e trabalho técnico vinculado.</t>
        </is>
      </c>
      <c r="E25" s="11" t="inlineStr">
        <is>
          <t>Aplicar a definição vigente; execução, evidência e aceite são registrados nas tarefas relacionadas.</t>
        </is>
      </c>
      <c r="F25" s="12" t="inlineStr">
        <is>
          <t>O Bling fornece lançamentos e campos de origem; o motor Majucau calcula a DRE com o mapeamento contábil aprovado. Fontes externas mantêm seus escopos e não preenchem linhas ausentes por hipótese; não criar linhas ou estrutura sem aprovação.</t>
        </is>
      </c>
      <c r="G25" s="11" t="inlineStr">
        <is>
          <t>D_Lacunas!A11:G11; Consolidação das respostas do desenvolvimento — enviada pelo usuário em 13/09/2026; Fechamento das questões ainda tratadas como abertas — 13/09/2026</t>
        </is>
      </c>
      <c r="H25" s="11" t="inlineStr">
        <is>
          <t>BK-007</t>
        </is>
      </c>
      <c r="I25" s="11" t="inlineStr">
        <is>
          <t>Regra/atribuição definida</t>
        </is>
      </c>
    </row>
    <row r="26" ht="95" customHeight="1">
      <c r="A26" s="10" t="inlineStr">
        <is>
          <t>L-10</t>
        </is>
      </c>
      <c r="B26" s="10" t="inlineStr">
        <is>
          <t>UI Pricing</t>
        </is>
      </c>
      <c r="C26" s="12" t="inlineStr">
        <is>
          <t>Referência a localizar</t>
        </is>
      </c>
      <c r="D26" s="10" t="inlineStr">
        <is>
          <t>Definição vigente e trabalho técnico vinculado.</t>
        </is>
      </c>
      <c r="E26" s="10" t="inlineStr">
        <is>
          <t>Aplicar a definição vigente; execução, evidência e aceite são registrados nas tarefas relacionadas.</t>
        </is>
      </c>
      <c r="F26" s="12" t="inlineStr">
        <is>
          <t>Localizar última versão aprovada/congelada do bloco/tela; não reabrir UX nem criar rota por inferência.</t>
        </is>
      </c>
      <c r="G26" s="10" t="inlineStr">
        <is>
          <t>D_Lacunas!A12:G12; Fechamento das questões ainda tratadas como abertas — 13/09/2026</t>
        </is>
      </c>
      <c r="H26" s="10" t="inlineStr">
        <is>
          <t>BK-075</t>
        </is>
      </c>
      <c r="I26" s="10" t="inlineStr">
        <is>
          <t>Rastreabilidade documental</t>
        </is>
      </c>
    </row>
    <row r="27" ht="95" customHeight="1">
      <c r="A27" s="11" t="inlineStr">
        <is>
          <t>L-11</t>
        </is>
      </c>
      <c r="B27" s="11" t="inlineStr">
        <is>
          <t>Arquivos Nuvem</t>
        </is>
      </c>
      <c r="C27" s="12" t="inlineStr">
        <is>
          <t>Definida</t>
        </is>
      </c>
      <c r="D27" s="11" t="inlineStr">
        <is>
          <t>Definição vigente e trabalho técnico vinculado.</t>
        </is>
      </c>
      <c r="E27" s="11" t="inlineStr">
        <is>
          <t>Aplicar a definição vigente; execução, evidência e aceite são registrados nas tarefas relacionadas.</t>
        </is>
      </c>
      <c r="F27" s="12" t="inlineStr">
        <is>
          <t>Ler a agenda futura na estrutura definida; mapear arquivos/chaves tecnicamente. Conciliação normal de movimentos usa D-1, sem cortar vencimentos futuros da agenda.</t>
        </is>
      </c>
      <c r="G27" s="11" t="inlineStr">
        <is>
          <t>D_Lacunas!A13:G13; Consolidação das respostas do desenvolvimento — enviada pelo usuário em 13/09/2026; Fechamento das questões ainda tratadas como abertas — 13/09/2026</t>
        </is>
      </c>
      <c r="H27" s="11" t="inlineStr">
        <is>
          <t>BK-010</t>
        </is>
      </c>
      <c r="I27" s="11" t="inlineStr">
        <is>
          <t>Regra/atribuição definida</t>
        </is>
      </c>
    </row>
    <row r="28" ht="95" customHeight="1">
      <c r="A28" s="10" t="inlineStr">
        <is>
          <t>L-12</t>
        </is>
      </c>
      <c r="B28" s="10" t="inlineStr">
        <is>
          <t>Ciclo de vida de arquivo</t>
        </is>
      </c>
      <c r="C28" s="12" t="inlineStr">
        <is>
          <t>Definida</t>
        </is>
      </c>
      <c r="D28" s="10" t="inlineStr">
        <is>
          <t>Definição vigente e trabalho técnico vinculado.</t>
        </is>
      </c>
      <c r="E28" s="10" t="inlineStr">
        <is>
          <t>Aplicar a definição vigente; execução, evidência e aceite são registrados nas tarefas relacionadas.</t>
        </is>
      </c>
      <c r="F28" s="12" t="inlineStr">
        <is>
          <t>Origem somente de leitura. Proibido criar, mover, renomear, excluir, sobrescrever ou alterar arquivos. Controle, hash, lotes, rejeições e versões ficam internamente; arquivo corrigido não sobrescreve fatos silenciosamente.</t>
        </is>
      </c>
      <c r="G28" s="10" t="inlineStr">
        <is>
          <t>D_Lacunas!A14:G14; Consolidação das respostas do desenvolvimento — enviada pelo usuário em 13/09/2026; Fechamento das questões ainda tratadas como abertas — 13/09/2026</t>
        </is>
      </c>
      <c r="H28" s="10" t="inlineStr">
        <is>
          <t>BK-010</t>
        </is>
      </c>
      <c r="I28" s="10" t="inlineStr">
        <is>
          <t>Regra/atribuição definida</t>
        </is>
      </c>
    </row>
    <row r="29" ht="95" customHeight="1">
      <c r="A29" s="11" t="inlineStr">
        <is>
          <t>L-13</t>
        </is>
      </c>
      <c r="B29" s="11" t="inlineStr">
        <is>
          <t>Fretes/taxas na DRE</t>
        </is>
      </c>
      <c r="C29" s="12" t="inlineStr">
        <is>
          <t>Definida</t>
        </is>
      </c>
      <c r="D29" s="11" t="inlineStr">
        <is>
          <t>Definição vigente e trabalho técnico vinculado.</t>
        </is>
      </c>
      <c r="E29" s="11" t="inlineStr">
        <is>
          <t>Aplicar a definição vigente; execução, evidência e aceite são registrados nas tarefas relacionadas.</t>
        </is>
      </c>
      <c r="F29" s="12" t="inlineStr">
        <is>
          <t>Frete cobrado, custo e subsídio permanecem separados nos dados específicos. Só afetam a DRE conforme documento, competência e mapeamento contábil aprovados; não se herda automaticamente a classificação do relatório do Bling.</t>
        </is>
      </c>
      <c r="G29" s="11" t="inlineStr">
        <is>
          <t>D_Lacunas!A15:G15; Consolidação das respostas do desenvolvimento — enviada pelo usuário em 13/09/2026; Fechamento das questões ainda tratadas como abertas — 13/09/2026</t>
        </is>
      </c>
      <c r="H29" s="11" t="inlineStr">
        <is>
          <t>BK-007</t>
        </is>
      </c>
      <c r="I29" s="11" t="inlineStr">
        <is>
          <t>Regra/atribuição definida</t>
        </is>
      </c>
    </row>
    <row r="30" ht="95" customHeight="1">
      <c r="A30" s="10" t="inlineStr">
        <is>
          <t>L-14</t>
        </is>
      </c>
      <c r="B30" s="10" t="inlineStr">
        <is>
          <t>Recuperações</t>
        </is>
      </c>
      <c r="C30" s="12" t="inlineStr">
        <is>
          <t>Definida</t>
        </is>
      </c>
      <c r="D30" s="10" t="inlineStr">
        <is>
          <t>Definição vigente e trabalho técnico vinculado.</t>
        </is>
      </c>
      <c r="E30" s="10" t="inlineStr">
        <is>
          <t>Aplicar a definição vigente; execução, evidência e aceite são registrados nas tarefas relacionadas.</t>
        </is>
      </c>
      <c r="F30" s="12" t="inlineStr">
        <is>
          <t>Recuperação é evento rastreável; caixa depende de recebimento financeiro comprovado e inclusão na DRE segue documento e mapeamento contábil aprovados. Aprovação de ressarcimento não cria dinheiro.</t>
        </is>
      </c>
      <c r="G30" s="10" t="inlineStr">
        <is>
          <t>D_Lacunas!A16:G16; Fechamento das questões ainda tratadas como abertas — 13/09/2026</t>
        </is>
      </c>
      <c r="H30" s="10" t="inlineStr">
        <is>
          <t>BK-007</t>
        </is>
      </c>
      <c r="I30" s="10" t="inlineStr">
        <is>
          <t>Regra/atribuição definida</t>
        </is>
      </c>
    </row>
    <row r="31" ht="95" customHeight="1">
      <c r="A31" s="11" t="inlineStr">
        <is>
          <t>L-15</t>
        </is>
      </c>
      <c r="B31" s="11" t="inlineStr">
        <is>
          <t>Custo de carregar estoque</t>
        </is>
      </c>
      <c r="C31" s="12" t="inlineStr">
        <is>
          <t>Definida</t>
        </is>
      </c>
      <c r="D31" s="11" t="inlineStr">
        <is>
          <t>Definição vigente e trabalho técnico vinculado.</t>
        </is>
      </c>
      <c r="E31" s="11" t="inlineStr">
        <is>
          <t>Aplicar a definição vigente; execução, evidência e aceite são registrados nas tarefas relacionadas.</t>
        </is>
      </c>
      <c r="F31" s="12" t="inlineStr">
        <is>
          <t>Custo de carregamento pertence à análise econômica quando houver dado/regra comprovável. Sua ausência não bloqueia quantidade/prioridade do motor de compras; não inventar taxa.</t>
        </is>
      </c>
      <c r="G31" s="11" t="inlineStr">
        <is>
          <t>D_Lacunas!A17:G17; Fechamento das questões ainda tratadas como abertas — 13/09/2026</t>
        </is>
      </c>
      <c r="H31" s="11" t="inlineStr"/>
      <c r="I31" s="11" t="inlineStr">
        <is>
          <t>Regra/atribuição definida</t>
        </is>
      </c>
    </row>
    <row r="32" ht="95" customHeight="1">
      <c r="A32" s="10" t="inlineStr">
        <is>
          <t>L-16</t>
        </is>
      </c>
      <c r="B32" s="10" t="inlineStr">
        <is>
          <t>Mockup Logística</t>
        </is>
      </c>
      <c r="C32" s="12" t="inlineStr">
        <is>
          <t>Referência a localizar</t>
        </is>
      </c>
      <c r="D32" s="10" t="inlineStr">
        <is>
          <t>Definição vigente e trabalho técnico vinculado.</t>
        </is>
      </c>
      <c r="E32" s="10" t="inlineStr">
        <is>
          <t>Aplicar a definição vigente; execução, evidência e aceite são registrados nas tarefas relacionadas.</t>
        </is>
      </c>
      <c r="F32" s="12" t="inlineStr">
        <is>
          <t>Localizar última versão aprovada/congelada do bloco/tela; não reabrir UX nem criar rota por inferência.</t>
        </is>
      </c>
      <c r="G32" s="10" t="inlineStr">
        <is>
          <t>D_Lacunas!A18:G18; Fechamento das questões ainda tratadas como abertas — 13/09/2026</t>
        </is>
      </c>
      <c r="H32" s="10" t="inlineStr">
        <is>
          <t>BK-076</t>
        </is>
      </c>
      <c r="I32" s="10" t="inlineStr">
        <is>
          <t>Rastreabilidade documental</t>
        </is>
      </c>
    </row>
    <row r="33" ht="95" customHeight="1">
      <c r="A33" s="11" t="inlineStr">
        <is>
          <t>L-17</t>
        </is>
      </c>
      <c r="B33" s="11" t="inlineStr">
        <is>
          <t>Compras — quantidade recomendada</t>
        </is>
      </c>
      <c r="C33" s="12" t="inlineStr">
        <is>
          <t>Definida</t>
        </is>
      </c>
      <c r="D33" s="11" t="inlineStr">
        <is>
          <t>Definição vigente e trabalho técnico vinculado.</t>
        </is>
      </c>
      <c r="E33" s="11" t="inlineStr">
        <is>
          <t>Aplicar a definição vigente; execução, evidência e aceite são registrados nas tarefas relacionadas.</t>
        </is>
      </c>
      <c r="F33" s="12" t="inlineStr">
        <is>
          <t>Necessidade líquida usa demanda bruta, estoque utilizável e cobertura em tempo; pedido parcial reduz somente parte efetivamente coberta.</t>
        </is>
      </c>
      <c r="G33" s="11" t="inlineStr">
        <is>
          <t>D_Lacunas!A19:G19; Fechamento das questões ainda tratadas como abertas — 13/09/2026</t>
        </is>
      </c>
      <c r="H33" s="11" t="inlineStr">
        <is>
          <t>BK-008</t>
        </is>
      </c>
      <c r="I33" s="11" t="inlineStr">
        <is>
          <t>Regra/atribuição definida</t>
        </is>
      </c>
    </row>
    <row r="34" ht="95" customHeight="1">
      <c r="A34" s="10" t="inlineStr">
        <is>
          <t>L-18</t>
        </is>
      </c>
      <c r="B34" s="10" t="inlineStr">
        <is>
          <t>Compras — prioridade e prazo histórico</t>
        </is>
      </c>
      <c r="C34" s="12" t="inlineStr">
        <is>
          <t>Definida</t>
        </is>
      </c>
      <c r="D34" s="10" t="inlineStr">
        <is>
          <t>Definição vigente e trabalho técnico vinculado.</t>
        </is>
      </c>
      <c r="E34" s="10" t="inlineStr">
        <is>
          <t>Aplicar a definição vigente; execução, evidência e aceite são registrados nas tarefas relacionadas.</t>
        </is>
      </c>
      <c r="F34" s="12" t="inlineStr">
        <is>
          <t>Prioridade operacional usa risco, cobertura, lead time, pedidos e datas reais, com ordenação explicável. Estatística/janela é especificação técnica rastreável.</t>
        </is>
      </c>
      <c r="G34" s="10" t="inlineStr">
        <is>
          <t>D_Lacunas!A20:G20; Fechamento das questões ainda tratadas como abertas — 13/09/2026</t>
        </is>
      </c>
      <c r="H34" s="10" t="inlineStr">
        <is>
          <t>BK-008</t>
        </is>
      </c>
      <c r="I34" s="10" t="inlineStr">
        <is>
          <t>Regra/atribuição definida</t>
        </is>
      </c>
    </row>
    <row r="35" ht="95" customHeight="1">
      <c r="A35" s="11" t="inlineStr">
        <is>
          <t>L-19</t>
        </is>
      </c>
      <c r="B35" s="11" t="inlineStr">
        <is>
          <t>Cacau — sinais externos</t>
        </is>
      </c>
      <c r="C35" s="12" t="inlineStr">
        <is>
          <t>Definida</t>
        </is>
      </c>
      <c r="D35" s="11" t="inlineStr">
        <is>
          <t>Definição vigente e trabalho técnico vinculado.</t>
        </is>
      </c>
      <c r="E35" s="11" t="inlineStr">
        <is>
          <t>Aplicar a definição vigente; execução, evidência e aceite são registrados nas tarefas relacionadas.</t>
        </is>
      </c>
      <c r="F35" s="12" t="inlineStr">
        <is>
          <t>Refinamento técnico de fontes comparáveis e localidades reais; sinais não bloqueiam motor principal de compras.</t>
        </is>
      </c>
      <c r="G35" s="11" t="inlineStr">
        <is>
          <t>D_Lacunas!A21:G21; Consolidação das respostas do desenvolvimento — enviada pelo usuário em 13/09/2026; Fechamento das questões ainda tratadas como abertas — 13/09/2026</t>
        </is>
      </c>
      <c r="H35" s="11" t="inlineStr">
        <is>
          <t>BK-011</t>
        </is>
      </c>
      <c r="I35" s="11" t="inlineStr">
        <is>
          <t>Regra/atribuição definida</t>
        </is>
      </c>
    </row>
    <row r="36" ht="95" customHeight="1">
      <c r="A36" s="10" t="inlineStr">
        <is>
          <t>L-20</t>
        </is>
      </c>
      <c r="B36" s="10" t="inlineStr">
        <is>
          <t>Forecast — thresholds de qualidade</t>
        </is>
      </c>
      <c r="C36" s="12" t="inlineStr">
        <is>
          <t>Definida</t>
        </is>
      </c>
      <c r="D36" s="10" t="inlineStr">
        <is>
          <t>Definição vigente e trabalho técnico vinculado.</t>
        </is>
      </c>
      <c r="E36" s="10" t="inlineStr">
        <is>
          <t>Aplicar a definição vigente; execução, evidência e aceite são registrados nas tarefas relacionadas.</t>
        </is>
      </c>
      <c r="F36" s="12" t="inlineStr">
        <is>
          <t>Avaliação temporal e critérios de qualidade são execução técnica com cobertura histórica real, sem valores do mockup como prova.</t>
        </is>
      </c>
      <c r="G36" s="10" t="inlineStr">
        <is>
          <t>D_Lacunas!A22:G22; Consolidação das respostas do desenvolvimento — enviada pelo usuário em 13/09/2026; Fechamento das questões ainda tratadas como abertas — 13/09/2026</t>
        </is>
      </c>
      <c r="H36" s="10" t="inlineStr">
        <is>
          <t>BK-009</t>
        </is>
      </c>
      <c r="I36" s="10" t="inlineStr">
        <is>
          <t>Regra/atribuição definida</t>
        </is>
      </c>
    </row>
    <row r="37" ht="95" customHeight="1">
      <c r="A37" s="11" t="inlineStr">
        <is>
          <t>L-21</t>
        </is>
      </c>
      <c r="B37" s="11" t="inlineStr">
        <is>
          <t>Meta de faturamento — distribuição</t>
        </is>
      </c>
      <c r="C37" s="12" t="inlineStr">
        <is>
          <t>Definida</t>
        </is>
      </c>
      <c r="D37" s="11" t="inlineStr">
        <is>
          <t>Definição vigente e trabalho técnico vinculado.</t>
        </is>
      </c>
      <c r="E37" s="11" t="inlineStr">
        <is>
          <t>Aplicar a definição vigente; execução, evidência e aceite são registrados nas tarefas relacionadas.</t>
        </is>
      </c>
      <c r="F37" s="12" t="inlineStr">
        <is>
          <t>Não distribuir meta financeira automaticamente por SKU. Forecast vem do histórico; metas diretas por produto só quando explicitamente cadastradas.</t>
        </is>
      </c>
      <c r="G37" s="11" t="inlineStr">
        <is>
          <t>D_Lacunas!A23:G23; Fechamento das questões ainda tratadas como abertas — 13/09/2026</t>
        </is>
      </c>
      <c r="H37" s="11" t="inlineStr">
        <is>
          <t>BK-009</t>
        </is>
      </c>
      <c r="I37" s="11" t="inlineStr">
        <is>
          <t>Regra/atribuição definida</t>
        </is>
      </c>
    </row>
    <row r="38" ht="95" customHeight="1">
      <c r="A38" s="10" t="inlineStr">
        <is>
          <t>L-22</t>
        </is>
      </c>
      <c r="B38" s="10" t="inlineStr">
        <is>
          <t>Telas 13–15 — exportação</t>
        </is>
      </c>
      <c r="C38" s="12" t="inlineStr">
        <is>
          <t>Definida</t>
        </is>
      </c>
      <c r="D38" s="10" t="inlineStr">
        <is>
          <t>Definição vigente e trabalho técnico vinculado.</t>
        </is>
      </c>
      <c r="E38" s="10" t="inlineStr">
        <is>
          <t>Aplicar a definição vigente; execução, evidência e aceite são registrados nas tarefas relacionadas.</t>
        </is>
      </c>
      <c r="F38" s="12" t="inlineStr">
        <is>
          <t>Exportações previstas/aprovadas permanecem; implementar contrato técnico com mesmos dados/filtros e Excel quando especificado, sem perguntar novamente se a função entra.</t>
        </is>
      </c>
      <c r="G38" s="10" t="inlineStr">
        <is>
          <t>D_Lacunas!A24:G24; Fechamento das questões ainda tratadas como abertas — 13/09/2026</t>
        </is>
      </c>
      <c r="H38" s="10" t="inlineStr">
        <is>
          <t>BK-012</t>
        </is>
      </c>
      <c r="I38" s="10" t="inlineStr">
        <is>
          <t>Regra/atribuição definida</t>
        </is>
      </c>
    </row>
    <row r="39" ht="95" customHeight="1">
      <c r="A39" s="11" t="inlineStr">
        <is>
          <t>L-23</t>
        </is>
      </c>
      <c r="B39" s="11" t="inlineStr">
        <is>
          <t>Tela 13 — resolução por tipo</t>
        </is>
      </c>
      <c r="C39" s="12" t="inlineStr">
        <is>
          <t>Definida</t>
        </is>
      </c>
      <c r="D39" s="11" t="inlineStr">
        <is>
          <t>Definição vigente e trabalho técnico vinculado.</t>
        </is>
      </c>
      <c r="E39" s="11" t="inlineStr">
        <is>
          <t>Aplicar a definição vigente; execução, evidência e aceite são registrados nas tarefas relacionadas.</t>
        </is>
      </c>
      <c r="F39" s="12" t="inlineStr">
        <is>
          <t>Ciclo de pendência rastreável, com ator/data/alteração/origem e justificativa técnica; resolução trata a causa dentro da capacidade correspondente.</t>
        </is>
      </c>
      <c r="G39" s="11" t="inlineStr">
        <is>
          <t>D_Lacunas!A25:G25; Fechamento das questões ainda tratadas como abertas — 13/09/2026</t>
        </is>
      </c>
      <c r="H39" s="11" t="inlineStr">
        <is>
          <t>BK-012</t>
        </is>
      </c>
      <c r="I39" s="11" t="inlineStr">
        <is>
          <t>Regra/atribuição definida</t>
        </is>
      </c>
    </row>
    <row r="40" ht="95" customHeight="1">
      <c r="A40" s="10" t="inlineStr">
        <is>
          <t>L-24</t>
        </is>
      </c>
      <c r="B40" s="10" t="inlineStr">
        <is>
          <t>Tela 15 — freshness por fonte</t>
        </is>
      </c>
      <c r="C40" s="12" t="inlineStr">
        <is>
          <t>Definida</t>
        </is>
      </c>
      <c r="D40" s="10" t="inlineStr">
        <is>
          <t>Definição vigente e trabalho técnico vinculado.</t>
        </is>
      </c>
      <c r="E40" s="10" t="inlineStr">
        <is>
          <t>Aplicar a definição vigente; execução, evidência e aceite são registrados nas tarefas relacionadas.</t>
        </is>
      </c>
      <c r="F40" s="12" t="inlineStr">
        <is>
          <t>Frequência/timeout/validade por fonte são configurações técnicas; análise/conciliação de movimentos usa D-1. Não manter D+1 como regra corrente.</t>
        </is>
      </c>
      <c r="G40" s="10" t="inlineStr">
        <is>
          <t>D_Lacunas!A26:G26; Consolidação das respostas do desenvolvimento — enviada pelo usuário em 13/09/2026; Fechamento das questões ainda tratadas como abertas — 13/09/2026</t>
        </is>
      </c>
      <c r="H40" s="10" t="inlineStr">
        <is>
          <t>BK-010</t>
        </is>
      </c>
      <c r="I40" s="10" t="inlineStr">
        <is>
          <t>Regra/atribuição definida</t>
        </is>
      </c>
    </row>
    <row r="41" ht="95" customHeight="1">
      <c r="A41" s="11" t="inlineStr">
        <is>
          <t>L-25</t>
        </is>
      </c>
      <c r="B41" s="11" t="inlineStr">
        <is>
          <t>Tela 16 — governança de edição de parâmetros</t>
        </is>
      </c>
      <c r="C41" s="12" t="inlineStr">
        <is>
          <t>Definida</t>
        </is>
      </c>
      <c r="D41" s="11" t="inlineStr">
        <is>
          <t>Definição vigente e trabalho técnico vinculado.</t>
        </is>
      </c>
      <c r="E41" s="11" t="inlineStr">
        <is>
          <t>Aplicar a definição vigente; execução, evidência e aceite são registrados nas tarefas relacionadas.</t>
        </is>
      </c>
      <c r="F41" s="12" t="inlineStr">
        <is>
          <t>Parâmetros editáveis por capacidade, com antes/depois, usuário, data e vigência. Período fechado não se altera silenciosamente; reprocessamento explícito auditado.</t>
        </is>
      </c>
      <c r="G41" s="11" t="inlineStr">
        <is>
          <t>D_Lacunas!A27:G27; Fechamento das questões ainda tratadas como abertas — 13/09/2026</t>
        </is>
      </c>
      <c r="H41" s="11" t="inlineStr">
        <is>
          <t>BK-013</t>
        </is>
      </c>
      <c r="I41" s="11" t="inlineStr">
        <is>
          <t>Regra/atribuição definida</t>
        </is>
      </c>
    </row>
    <row r="42" ht="95" customHeight="1">
      <c r="A42" s="10" t="inlineStr">
        <is>
          <t>L-26</t>
        </is>
      </c>
      <c r="B42" s="10" t="inlineStr">
        <is>
          <t>Tela 17 — identidade, ciclo de vida e matriz de permissões</t>
        </is>
      </c>
      <c r="C42" s="12" t="inlineStr">
        <is>
          <t>Definida</t>
        </is>
      </c>
      <c r="D42" s="10" t="inlineStr">
        <is>
          <t>Definição vigente e trabalho técnico vinculado.</t>
        </is>
      </c>
      <c r="E42" s="10" t="inlineStr">
        <is>
          <t>Aplicar a definição vigente; execução, evidência e aceite são registrados nas tarefas relacionadas.</t>
        </is>
      </c>
      <c r="F42" s="12" t="inlineStr">
        <is>
          <t>Arquitetura de identidade e matriz de capacidades são responsabilidade técnica; autorização não depende de nomes de diretores e segue menor privilégio.</t>
        </is>
      </c>
      <c r="G42" s="10" t="inlineStr">
        <is>
          <t>D_Lacunas!A28:G28; Fechamento das questões ainda tratadas como abertas — 13/09/2026</t>
        </is>
      </c>
      <c r="H42" s="10" t="inlineStr">
        <is>
          <t>BK-013</t>
        </is>
      </c>
      <c r="I42" s="10" t="inlineStr">
        <is>
          <t>Regra/atribuição definida</t>
        </is>
      </c>
    </row>
    <row r="43" ht="95" customHeight="1">
      <c r="A43" s="11" t="inlineStr">
        <is>
          <t>Q-01</t>
        </is>
      </c>
      <c r="B43" s="11" t="inlineStr">
        <is>
          <t>Referência visual</t>
        </is>
      </c>
      <c r="C43" s="12" t="inlineStr">
        <is>
          <t>Referência a localizar</t>
        </is>
      </c>
      <c r="D43" s="11" t="inlineStr">
        <is>
          <t>Definição vigente e trabalho técnico vinculado.</t>
        </is>
      </c>
      <c r="E43" s="11" t="inlineStr">
        <is>
          <t>Aplicar a definição vigente; execução, evidência e aceite são registrados nas tarefas relacionadas.</t>
        </is>
      </c>
      <c r="F43" s="12" t="inlineStr">
        <is>
          <t>Reproduzir a última referência visual aprovada/congelada; localizar o arquivo oficial se necessário. Não redesenhar menu/logo ou reabrir tela congelada.</t>
        </is>
      </c>
      <c r="G43" s="11" t="inlineStr">
        <is>
          <t>T12/T13 versus demais imagens; Fechamento das questões ainda tratadas como abertas — 13/09/2026</t>
        </is>
      </c>
      <c r="H43" s="11" t="inlineStr">
        <is>
          <t>BK-004, BK-021</t>
        </is>
      </c>
      <c r="I43" s="11" t="inlineStr">
        <is>
          <t>Rastreabilidade documental</t>
        </is>
      </c>
    </row>
    <row r="44" ht="95" customHeight="1">
      <c r="A44" s="10" t="inlineStr">
        <is>
          <t>Q-02</t>
        </is>
      </c>
      <c r="B44" s="10" t="inlineStr">
        <is>
          <t>Módulos sem especificação completa</t>
        </is>
      </c>
      <c r="C44" s="12" t="inlineStr">
        <is>
          <t>Referência a localizar</t>
        </is>
      </c>
      <c r="D44" s="10" t="inlineStr">
        <is>
          <t>Definição vigente e trabalho técnico vinculado.</t>
        </is>
      </c>
      <c r="E44" s="10" t="inlineStr">
        <is>
          <t>Aplicar a definição vigente; execução, evidência e aceite são registrados nas tarefas relacionadas.</t>
        </is>
      </c>
      <c r="F44" s="12" t="inlineStr">
        <is>
          <t>Localizar os artefatos aprovados dos módulos. Ausência física no pacote é rastreio documental, não nova aprovação de tela nem licença para inventar conteúdo.</t>
        </is>
      </c>
      <c r="G44" s="10" t="inlineStr">
        <is>
          <t>Menus; A_Matriz_Mestra; Fechamento das questões ainda tratadas como abertas — 13/09/2026</t>
        </is>
      </c>
      <c r="H44" s="10" t="inlineStr">
        <is>
          <t>BK-004, BK-021, BK-074, BK-102, BK-103</t>
        </is>
      </c>
      <c r="I44" s="10" t="inlineStr">
        <is>
          <t>Rastreabilidade documental</t>
        </is>
      </c>
    </row>
    <row r="45" ht="95" customHeight="1">
      <c r="A45" s="11" t="inlineStr">
        <is>
          <t>Q-03</t>
        </is>
      </c>
      <c r="B45" s="11" t="inlineStr">
        <is>
          <t>Máquina Windows</t>
        </is>
      </c>
      <c r="C45" s="12" t="inlineStr">
        <is>
          <t>Execução técnica pendente</t>
        </is>
      </c>
      <c r="D45" s="11" t="inlineStr">
        <is>
          <t>Definição vigente e trabalho técnico vinculado.</t>
        </is>
      </c>
      <c r="E45" s="11" t="inlineStr">
        <is>
          <t>Aplicar a definição vigente; execução, evidência e aceite são registrados nas tarefas relacionadas.</t>
        </is>
      </c>
      <c r="F45" s="12" t="inlineStr">
        <is>
          <t>Inventariar host Windows e recursos por inspeção técnica quando disponível; não inventar CPU/RAM/disco nem devolver dimensionamento como pergunta financeira.</t>
        </is>
      </c>
      <c r="G45" s="11" t="inlineStr">
        <is>
          <t>Resposta do usuário: Windows; demais dados desconhecidos; Fechamento das questões ainda tratadas como abertas — 13/09/2026</t>
        </is>
      </c>
      <c r="H45" s="11" t="inlineStr">
        <is>
          <t>BK-014</t>
        </is>
      </c>
      <c r="I45" s="11" t="inlineStr">
        <is>
          <t>Execução técnica</t>
        </is>
      </c>
    </row>
    <row r="46" ht="95" customHeight="1">
      <c r="A46" s="10" t="inlineStr">
        <is>
          <t>Q-04</t>
        </is>
      </c>
      <c r="B46" s="10" t="inlineStr">
        <is>
          <t>Locais de acesso</t>
        </is>
      </c>
      <c r="C46" s="12" t="inlineStr">
        <is>
          <t>Definida</t>
        </is>
      </c>
      <c r="D46" s="10" t="inlineStr">
        <is>
          <t>Definição vigente e trabalho técnico vinculado.</t>
        </is>
      </c>
      <c r="E46" s="10" t="inlineStr">
        <is>
          <t>Aplicar a definição vigente; execução, evidência e aceite são registrados nas tarefas relacionadas.</t>
        </is>
      </c>
      <c r="F46" s="12" t="inlineStr">
        <is>
          <t>Acesso autenticado. Acesso externo é condicional a habilitação explícita e usa canal seguro; esta rodada não publica/expoe serviços.</t>
        </is>
      </c>
      <c r="G46" s="10" t="inlineStr">
        <is>
          <t>Uso em três computadores confirmado; Fechamento das questões ainda tratadas como abertas — 13/09/2026</t>
        </is>
      </c>
      <c r="H46" s="10" t="inlineStr">
        <is>
          <t>BK-014</t>
        </is>
      </c>
      <c r="I46" s="10" t="inlineStr">
        <is>
          <t>Regra/atribuição definida</t>
        </is>
      </c>
    </row>
    <row r="47" ht="95" customHeight="1">
      <c r="A47" s="11" t="inlineStr">
        <is>
          <t>Q-05</t>
        </is>
      </c>
      <c r="B47" s="11" t="inlineStr">
        <is>
          <t>Disponibilidade local</t>
        </is>
      </c>
      <c r="C47" s="12" t="inlineStr">
        <is>
          <t>Definida</t>
        </is>
      </c>
      <c r="D47" s="11" t="inlineStr">
        <is>
          <t>Definição vigente e trabalho técnico vinculado.</t>
        </is>
      </c>
      <c r="E47" s="11" t="inlineStr">
        <is>
          <t>Aplicar a definição vigente; execução, evidência e aceite são registrados nas tarefas relacionadas.</t>
        </is>
      </c>
      <c r="F47" s="12" t="inlineStr">
        <is>
          <t>Propor serviços sem sessão humana, inicialização controlada e comportamento documentado com falhas de energia/internet; validar funcionamento desejado na implantação.</t>
        </is>
      </c>
      <c r="G47" s="11" t="inlineStr">
        <is>
          <t>Hospedagem local; Fechamento das questões ainda tratadas como abertas — 13/09/2026</t>
        </is>
      </c>
      <c r="H47" s="11" t="inlineStr">
        <is>
          <t>BK-014</t>
        </is>
      </c>
      <c r="I47" s="11" t="inlineStr">
        <is>
          <t>Regra/atribuição definida</t>
        </is>
      </c>
    </row>
    <row r="48" ht="95" customHeight="1">
      <c r="A48" s="10" t="inlineStr">
        <is>
          <t>Q-06</t>
        </is>
      </c>
      <c r="B48" s="10" t="inlineStr">
        <is>
          <t>Contas e fontes reais</t>
        </is>
      </c>
      <c r="C48" s="12" t="inlineStr">
        <is>
          <t>Definida</t>
        </is>
      </c>
      <c r="D48" s="10" t="inlineStr">
        <is>
          <t>Definição vigente e trabalho técnico vinculado.</t>
        </is>
      </c>
      <c r="E48" s="10" t="inlineStr">
        <is>
          <t>Aplicar a definição vigente; execução, evidência e aceite são registrados nas tarefas relacionadas.</t>
        </is>
      </c>
      <c r="F48" s="12" t="inlineStr">
        <is>
          <t>Bling/API concentra operacional/financeiro, Itaú principal, Mercado Pago e Conta Caixa/investimentos; Drive contém apenas perdas, Nuvem Pago e Nuvem Envio. Cacau continua refinamento posterior. Identificadores e capacidade real do Bling são verificações técnicas.</t>
        </is>
      </c>
      <c r="G48" s="10" t="inlineStr">
        <is>
          <t>H_Contrato_Dados; M-008; T15; Consolidação das respostas do desenvolvimento — enviada pelo usuário em 13/09/2026; Fechamento das questões ainda tratadas como abertas — 13/09/2026</t>
        </is>
      </c>
      <c r="H48" s="10" t="inlineStr">
        <is>
          <t>BK-010</t>
        </is>
      </c>
      <c r="I48" s="10" t="inlineStr">
        <is>
          <t>Regra/atribuição definida</t>
        </is>
      </c>
    </row>
    <row r="49" ht="95" customHeight="1">
      <c r="A49" s="11" t="inlineStr">
        <is>
          <t>Q-07</t>
        </is>
      </c>
      <c r="B49" s="11" t="inlineStr">
        <is>
          <t>Estoque e pedido aplicável</t>
        </is>
      </c>
      <c r="C49" s="12" t="inlineStr">
        <is>
          <t>Definida</t>
        </is>
      </c>
      <c r="D49" s="11" t="inlineStr">
        <is>
          <t>Definição vigente e trabalho técnico vinculado.</t>
        </is>
      </c>
      <c r="E49" s="11" t="inlineStr">
        <is>
          <t>Aplicar a definição vigente; execução, evidência e aceite são registrados nas tarefas relacionadas.</t>
        </is>
      </c>
      <c r="F49" s="12" t="inlineStr">
        <is>
          <t>Pedido parcial não elimina compra: descontar só quantidade pendente em tempo. Depósito vem inequivocamente do Bling; ausência não é hipótese.</t>
        </is>
      </c>
      <c r="G49" s="11" t="inlineStr">
        <is>
          <t>T09; Q_CEI_Tela_11; Consolidação das respostas do desenvolvimento — enviada pelo usuário em 13/09/2026; Fechamento das questões ainda tratadas como abertas — 13/09/2026</t>
        </is>
      </c>
      <c r="H49" s="11" t="inlineStr">
        <is>
          <t>BK-008</t>
        </is>
      </c>
      <c r="I49" s="11" t="inlineStr">
        <is>
          <t>Regra/atribuição definida</t>
        </is>
      </c>
    </row>
    <row r="50" ht="95" customHeight="1">
      <c r="A50" s="10" t="inlineStr">
        <is>
          <t>Q-08</t>
        </is>
      </c>
      <c r="B50" s="10" t="inlineStr">
        <is>
          <t>Situação das metas</t>
        </is>
      </c>
      <c r="C50" s="12" t="inlineStr">
        <is>
          <t>Definida</t>
        </is>
      </c>
      <c r="D50" s="10" t="inlineStr">
        <is>
          <t>Definição vigente e trabalho técnico vinculado.</t>
        </is>
      </c>
      <c r="E50" s="10" t="inlineStr">
        <is>
          <t>Aplicar a definição vigente; execução, evidência e aceite são registrados nas tarefas relacionadas.</t>
        </is>
      </c>
      <c r="F50" s="12" t="inlineStr">
        <is>
          <t>Status depende de realizado, meta e posição temporal do plano. Sem granularidade suficiente, não classificar atraso arbitrário ou assumir progresso linear.</t>
        </is>
      </c>
      <c r="G50" s="10" t="inlineStr">
        <is>
          <t>T10; Fechamento das questões ainda tratadas como abertas — 13/09/2026</t>
        </is>
      </c>
      <c r="H50" s="10" t="inlineStr">
        <is>
          <t>BK-008, BK-079</t>
        </is>
      </c>
      <c r="I50" s="10" t="inlineStr">
        <is>
          <t>Regra/atribuição definida</t>
        </is>
      </c>
    </row>
    <row r="51" ht="95" customHeight="1">
      <c r="A51" s="11" t="inlineStr">
        <is>
          <t>Q-09</t>
        </is>
      </c>
      <c r="B51" s="11" t="inlineStr">
        <is>
          <t>Uso dos demonstrativos</t>
        </is>
      </c>
      <c r="C51" s="12" t="inlineStr">
        <is>
          <t>Definida</t>
        </is>
      </c>
      <c r="D51" s="11" t="inlineStr">
        <is>
          <t>Definição vigente e trabalho técnico vinculado.</t>
        </is>
      </c>
      <c r="E51" s="11" t="inlineStr">
        <is>
          <t>Aplicar a definição vigente; execução, evidência e aceite são registrados nas tarefas relacionadas.</t>
        </is>
      </c>
      <c r="F51" s="12" t="inlineStr">
        <is>
          <t>A DRE é calculada pelo Majucau com lançamentos de origem e regras contábeis aprovadas; o relatório pronto do Bling serve para comparação. O balancete continua usando a base do Bling conforme campos disponíveis. Validar tecnicamente e não presumir campos ausentes.</t>
        </is>
      </c>
      <c r="G51" s="11" t="inlineStr">
        <is>
          <t>T06/T07; Fechamento das questões ainda tratadas como abertas — 13/09/2026</t>
        </is>
      </c>
      <c r="H51" s="11" t="inlineStr">
        <is>
          <t>BK-007</t>
        </is>
      </c>
      <c r="I51" s="11" t="inlineStr">
        <is>
          <t>Regra/atribuição definida</t>
        </is>
      </c>
    </row>
    <row r="52" ht="95" customHeight="1">
      <c r="A52" s="10" t="inlineStr">
        <is>
          <t>Q-10</t>
        </is>
      </c>
      <c r="B52" s="10" t="inlineStr">
        <is>
          <t>Período e limite de aplicação</t>
        </is>
      </c>
      <c r="C52" s="12" t="inlineStr">
        <is>
          <t>Definida</t>
        </is>
      </c>
      <c r="D52" s="10" t="inlineStr">
        <is>
          <t>Definição vigente e trabalho técnico vinculado.</t>
        </is>
      </c>
      <c r="E52" s="10" t="inlineStr">
        <is>
          <t>Aplicar a definição vigente; execução, evidência e aceite são registrados nas tarefas relacionadas.</t>
        </is>
      </c>
      <c r="F52" s="12" t="inlineStr">
        <is>
          <t>Calculadora fechada. O lucro elegível vem da DRE calculada pelo Majucau; preservar fórmulas M-030/M-034, janela e Já Investido (principal líquido de resgates). O valor executável é limitado pelo saldo transferível do Itaú.</t>
        </is>
      </c>
      <c r="G52" s="10" t="inlineStr">
        <is>
          <t>M-030..M-034; T08; Consolidação das respostas do desenvolvimento — enviada pelo usuário em 13/09/2026; Fechamento das questões ainda tratadas como abertas — 13/09/2026</t>
        </is>
      </c>
      <c r="H52" s="10" t="inlineStr">
        <is>
          <t>BK-006, BK-071</t>
        </is>
      </c>
      <c r="I52" s="10" t="inlineStr">
        <is>
          <t>Regra/atribuição definida</t>
        </is>
      </c>
    </row>
    <row r="53" ht="95" customHeight="1">
      <c r="A53" s="11" t="inlineStr">
        <is>
          <t>Q-11</t>
        </is>
      </c>
      <c r="B53" s="11" t="inlineStr">
        <is>
          <t>Vendas para produção projetada</t>
        </is>
      </c>
      <c r="C53" s="12" t="inlineStr">
        <is>
          <t>Definida</t>
        </is>
      </c>
      <c r="D53" s="11" t="inlineStr">
        <is>
          <t>Definição vigente e trabalho técnico vinculado.</t>
        </is>
      </c>
      <c r="E53" s="11" t="inlineStr">
        <is>
          <t>Aplicar a definição vigente; execução, evidência e aceite são registrados nas tarefas relacionadas.</t>
        </is>
      </c>
      <c r="F53" s="12" t="inlineStr">
        <is>
          <t>Produção necessária considera demanda, estoque-alvo e estoque/produção válidos no horizonte; contrato anterior sem desconto de estoque foi superado. Documentar normalização técnica da fórmula.</t>
        </is>
      </c>
      <c r="G53" s="11" t="inlineStr">
        <is>
          <t>M-047; T12; Fechamento das questões ainda tratadas como abertas — 13/09/2026</t>
        </is>
      </c>
      <c r="H53" s="11" t="inlineStr">
        <is>
          <t>BK-009, BK-092</t>
        </is>
      </c>
      <c r="I53" s="11" t="inlineStr">
        <is>
          <t>Regra/atribuição definida</t>
        </is>
      </c>
    </row>
    <row r="54" ht="95" customHeight="1">
      <c r="A54" s="10" t="inlineStr">
        <is>
          <t>Q-12</t>
        </is>
      </c>
      <c r="B54" s="10" t="inlineStr">
        <is>
          <t>Relação entre metas</t>
        </is>
      </c>
      <c r="C54" s="12" t="inlineStr">
        <is>
          <t>Definida</t>
        </is>
      </c>
      <c r="D54" s="10" t="inlineStr">
        <is>
          <t>Definição vigente e trabalho técnico vinculado.</t>
        </is>
      </c>
      <c r="E54" s="10" t="inlineStr">
        <is>
          <t>Aplicar a definição vigente; execução, evidência e aceite são registrados nas tarefas relacionadas.</t>
        </is>
      </c>
      <c r="F54" s="12" t="inlineStr">
        <is>
          <t>T01/T10 compartilham a mesma informação de produção. Metas são planejamento versionado, distinto de realizado e forecast T12; não criar metas independentes para o mesmo indicador nem sincronizar conceitos diferentes automaticamente.</t>
        </is>
      </c>
      <c r="G54" s="10" t="inlineStr">
        <is>
          <t>T10/T12/T16; Fechamento das questões ainda tratadas como abertas — 13/09/2026</t>
        </is>
      </c>
      <c r="H54" s="10" t="inlineStr">
        <is>
          <t>BK-009, BK-079</t>
        </is>
      </c>
      <c r="I54" s="10" t="inlineStr">
        <is>
          <t>Regra/atribuição definida</t>
        </is>
      </c>
    </row>
    <row r="55" ht="95" customHeight="1">
      <c r="A55" s="11" t="inlineStr">
        <is>
          <t>Q-13</t>
        </is>
      </c>
      <c r="B55" s="11" t="inlineStr">
        <is>
          <t>Ações visíveis e exportação</t>
        </is>
      </c>
      <c r="C55" s="12" t="inlineStr">
        <is>
          <t>Definida</t>
        </is>
      </c>
      <c r="D55" s="11" t="inlineStr">
        <is>
          <t>Definição vigente e trabalho técnico vinculado.</t>
        </is>
      </c>
      <c r="E55" s="11" t="inlineStr">
        <is>
          <t>Aplicar a definição vigente; execução, evidência e aceite são registrados nas tarefas relacionadas.</t>
        </is>
      </c>
      <c r="F55" s="12" t="inlineStr">
        <is>
          <t>Botões e navegação seguem referência aprovada; contrato de execução e exportação é detalhamento técnico, sem redesenhar ou retirar função existente.</t>
        </is>
      </c>
      <c r="G55" s="11" t="inlineStr">
        <is>
          <t>T02–T07; T13–T15; L-22; Fechamento das questões ainda tratadas como abertas — 13/09/2026</t>
        </is>
      </c>
      <c r="H55" s="11" t="inlineStr">
        <is>
          <t>BK-012</t>
        </is>
      </c>
      <c r="I55" s="11" t="inlineStr">
        <is>
          <t>Regra/atribuição definida</t>
        </is>
      </c>
    </row>
    <row r="56" ht="95" customHeight="1">
      <c r="A56" s="10" t="inlineStr">
        <is>
          <t>Q-14</t>
        </is>
      </c>
      <c r="B56" s="10" t="inlineStr">
        <is>
          <t>Permissões da diretoria</t>
        </is>
      </c>
      <c r="C56" s="12" t="inlineStr">
        <is>
          <t>Definida</t>
        </is>
      </c>
      <c r="D56" s="10" t="inlineStr">
        <is>
          <t>Definição vigente e trabalho técnico vinculado.</t>
        </is>
      </c>
      <c r="E56" s="10" t="inlineStr">
        <is>
          <t>Aplicar a definição vigente; execução, evidência e aceite são registrados nas tarefas relacionadas.</t>
        </is>
      </c>
      <c r="F56" s="12" t="inlineStr">
        <is>
          <t>Usuário, perfil e capacidade com menor privilégio; atribuição concreta é configuração administrativa explícita na implantação, sem hardcode por pessoa.</t>
        </is>
      </c>
      <c r="G56" s="10" t="inlineStr">
        <is>
          <t>T17; L-26; Fechamento das questões ainda tratadas como abertas — 13/09/2026</t>
        </is>
      </c>
      <c r="H56" s="10" t="inlineStr">
        <is>
          <t>BK-013</t>
        </is>
      </c>
      <c r="I56" s="10" t="inlineStr">
        <is>
          <t>Regra/atribuição definida</t>
        </is>
      </c>
    </row>
    <row r="57" ht="95" customHeight="1">
      <c r="A57" s="11" t="inlineStr">
        <is>
          <t>Q-15</t>
        </is>
      </c>
      <c r="B57" s="11" t="inlineStr">
        <is>
          <t>Recuperação</t>
        </is>
      </c>
      <c r="C57" s="12" t="inlineStr">
        <is>
          <t>Execução técnica pendente</t>
        </is>
      </c>
      <c r="D57" s="11" t="inlineStr">
        <is>
          <t>Definição vigente e trabalho técnico vinculado.</t>
        </is>
      </c>
      <c r="E57" s="11" t="inlineStr">
        <is>
          <t>Aplicar a definição vigente; execução, evidência e aceite são registrados nas tarefas relacionadas.</t>
        </is>
      </c>
      <c r="F57" s="12" t="inlineStr">
        <is>
          <t>Desenvolvimento propõe objetivos de recuperação, backup e procedimento; medir restauração e validar funcionamento desejado. Não registrar prazo/perda tolerável como já aprovados sem evidência.</t>
        </is>
      </c>
      <c r="G57" s="11" t="inlineStr">
        <is>
          <t>Requisito de produção local; Fechamento das questões ainda tratadas como abertas — 13/09/2026</t>
        </is>
      </c>
      <c r="H57" s="11" t="inlineStr">
        <is>
          <t>BK-014</t>
        </is>
      </c>
      <c r="I57" s="11" t="inlineStr">
        <is>
          <t>Execução técnica</t>
        </is>
      </c>
    </row>
    <row r="58" ht="95" customHeight="1">
      <c r="A58" s="10" t="inlineStr">
        <is>
          <t>Q-16</t>
        </is>
      </c>
      <c r="B58" s="10" t="inlineStr">
        <is>
          <t>Backup e responsável</t>
        </is>
      </c>
      <c r="C58" s="12" t="inlineStr">
        <is>
          <t>Execução técnica pendente</t>
        </is>
      </c>
      <c r="D58" s="10" t="inlineStr">
        <is>
          <t>Definição vigente e trabalho técnico vinculado.</t>
        </is>
      </c>
      <c r="E58" s="10" t="inlineStr">
        <is>
          <t>Aplicar a definição vigente; execução, evidência e aceite são registrados nas tarefas relacionadas.</t>
        </is>
      </c>
      <c r="F58" s="12" t="inlineStr">
        <is>
          <t>Projetar backup automático de dados locais, configuração e histórico; destino seguro fora do disco único e das três estruturas read-only; documentação de operador/suporte.</t>
        </is>
      </c>
      <c r="G58" s="10" t="inlineStr">
        <is>
          <t>Requisito de produção local; Fechamento das questões ainda tratadas como abertas — 13/09/2026</t>
        </is>
      </c>
      <c r="H58" s="10" t="inlineStr">
        <is>
          <t>BK-014</t>
        </is>
      </c>
      <c r="I58" s="10" t="inlineStr">
        <is>
          <t>Execução técnica</t>
        </is>
      </c>
    </row>
    <row r="59" ht="95" customHeight="1">
      <c r="A59" s="11" t="inlineStr">
        <is>
          <t>Q-17</t>
        </is>
      </c>
      <c r="B59" s="11" t="inlineStr">
        <is>
          <t>Prazo e equipe</t>
        </is>
      </c>
      <c r="C59" s="12" t="inlineStr">
        <is>
          <t>Execução técnica pendente</t>
        </is>
      </c>
      <c r="D59" s="11" t="inlineStr">
        <is>
          <t>Definição vigente e trabalho técnico vinculado.</t>
        </is>
      </c>
      <c r="E59" s="11" t="inlineStr">
        <is>
          <t>Aplicar a definição vigente; execução, evidência e aceite são registrados nas tarefas relacionadas.</t>
        </is>
      </c>
      <c r="F59" s="12" t="inlineStr">
        <is>
          <t>Organizar capacidade, estimativas e responsáveis por papel tecnicamente. Prazo real depende de alocação e evidências, sem prometê-lo ou converter isso em regra financeira.</t>
        </is>
      </c>
      <c r="G59" s="11" t="inlineStr">
        <is>
          <t>Pergunta inicial respondida apenas quanto à hospedagem; Fechamento das questões ainda tratadas como abertas — 13/09/2026</t>
        </is>
      </c>
      <c r="H59" s="11" t="inlineStr">
        <is>
          <t>BK-015</t>
        </is>
      </c>
      <c r="I59" s="11" t="inlineStr">
        <is>
          <t>Execução técnica</t>
        </is>
      </c>
    </row>
    <row r="60" ht="95" customHeight="1">
      <c r="A60" s="10" t="inlineStr">
        <is>
          <t>Q-18</t>
        </is>
      </c>
      <c r="B60" s="10" t="inlineStr">
        <is>
          <t>Dispositivos e linguagem</t>
        </is>
      </c>
      <c r="C60" s="12" t="inlineStr">
        <is>
          <t>Definida</t>
        </is>
      </c>
      <c r="D60" s="10" t="inlineStr">
        <is>
          <t>Definição vigente e trabalho técnico vinculado.</t>
        </is>
      </c>
      <c r="E60" s="10" t="inlineStr">
        <is>
          <t>Aplicar a definição vigente; execução, evidência e aceite são registrados nas tarefas relacionadas.</t>
        </is>
      </c>
      <c r="F60" s="12" t="inlineStr">
        <is>
          <t>Preservar visual congelado; acessibilidade, foco e estados técnicos dentro do padrão existente. Não usar responsividade como autorização de redesenho.</t>
        </is>
      </c>
      <c r="G60" s="10" t="inlineStr">
        <is>
          <t>Gaps UX em todas as imagens; Fechamento das questões ainda tratadas como abertas — 13/09/2026</t>
        </is>
      </c>
      <c r="H60" s="10" t="inlineStr">
        <is>
          <t>BK-021, BK-022</t>
        </is>
      </c>
      <c r="I60" s="10" t="inlineStr">
        <is>
          <t>Regra/atribuição definida</t>
        </is>
      </c>
    </row>
    <row r="61" ht="95" customHeight="1">
      <c r="A61" s="11" t="inlineStr">
        <is>
          <t>Q-19</t>
        </is>
      </c>
      <c r="B61" s="11" t="inlineStr">
        <is>
          <t>Conciliação detalhada</t>
        </is>
      </c>
      <c r="C61" s="12" t="inlineStr">
        <is>
          <t>Definida</t>
        </is>
      </c>
      <c r="D61" s="11" t="inlineStr">
        <is>
          <t>Definição vigente e trabalho técnico vinculado.</t>
        </is>
      </c>
      <c r="E61" s="11" t="inlineStr">
        <is>
          <t>Aplicar a definição vigente; execução, evidência e aceite são registrados nas tarefas relacionadas.</t>
        </is>
      </c>
      <c r="F61" s="12" t="inlineStr">
        <is>
          <t>ID Bling prioritário; identificação/nome + valor no fallback; ambiguidade fica para conferência, sem tolerância de valor inventada.</t>
        </is>
      </c>
      <c r="G61" s="11" t="inlineStr">
        <is>
          <t>T05; M-008; Consolidação das respostas do desenvolvimento — enviada pelo usuário em 13/09/2026; Fechamento das questões ainda tratadas como abertas — 13/09/2026</t>
        </is>
      </c>
      <c r="H61" s="11" t="inlineStr">
        <is>
          <t>BK-053</t>
        </is>
      </c>
      <c r="I61" s="11" t="inlineStr">
        <is>
          <t>Regra/atribuição definida</t>
        </is>
      </c>
    </row>
    <row r="62" ht="95" customHeight="1">
      <c r="A62" s="10" t="inlineStr">
        <is>
          <t>Q-20</t>
        </is>
      </c>
      <c r="B62" s="10" t="inlineStr">
        <is>
          <t>Recebimentos e status</t>
        </is>
      </c>
      <c r="C62" s="12" t="inlineStr">
        <is>
          <t>Definida</t>
        </is>
      </c>
      <c r="D62" s="10" t="inlineStr">
        <is>
          <t>Definição vigente e trabalho técnico vinculado.</t>
        </is>
      </c>
      <c r="E62" s="10" t="inlineStr">
        <is>
          <t>Aplicar a definição vigente; execução, evidência e aceite são registrados nas tarefas relacionadas.</t>
        </is>
      </c>
      <c r="F62" s="12" t="inlineStr">
        <is>
          <t>Agenda futura é previsão; Bling fornece fato financeiro. Aplicar D-1 ao realizado normal; pendente de conciliação fica fora de indicador que exige valor reconciliado.</t>
        </is>
      </c>
      <c r="G62" s="10" t="inlineStr">
        <is>
          <t>T03/T05; Fechamento das questões ainda tratadas como abertas — 13/09/2026</t>
        </is>
      </c>
      <c r="H62" s="10" t="inlineStr">
        <is>
          <t>BK-056</t>
        </is>
      </c>
      <c r="I62" s="10" t="inlineStr">
        <is>
          <t>Regra/atribuição definida</t>
        </is>
      </c>
    </row>
    <row r="63" ht="95" customHeight="1">
      <c r="A63" s="11" t="inlineStr">
        <is>
          <t>Q-21</t>
        </is>
      </c>
      <c r="B63" s="11" t="inlineStr">
        <is>
          <t>Calendário e caixa da semana</t>
        </is>
      </c>
      <c r="C63" s="12" t="inlineStr">
        <is>
          <t>Definida</t>
        </is>
      </c>
      <c r="D63" s="11" t="inlineStr">
        <is>
          <t>Definição vigente e trabalho técnico vinculado.</t>
        </is>
      </c>
      <c r="E63" s="11" t="inlineStr">
        <is>
          <t>Aplicar a definição vigente; execução, evidência e aceite são registrados nas tarefas relacionadas.</t>
        </is>
      </c>
      <c r="F63" s="12" t="inlineStr">
        <is>
          <t>Calculadora fechada; calendário/corte e contrato de caixa são especificação técnica. Corte normal D-1; não escolher posição crítica por conveniência nem criar regra fixa de sexta-feira.</t>
        </is>
      </c>
      <c r="G63" s="11" t="inlineStr">
        <is>
          <t>T02/T08; L-07; Fechamento das questões ainda tratadas como abertas — 13/09/2026</t>
        </is>
      </c>
      <c r="H63" s="11" t="inlineStr">
        <is>
          <t>BK-006, BK-060</t>
        </is>
      </c>
      <c r="I63" s="11" t="inlineStr">
        <is>
          <t>Regra/atribuição definida</t>
        </is>
      </c>
    </row>
    <row r="64" ht="95" customHeight="1">
      <c r="A64" s="10" t="inlineStr">
        <is>
          <t>Q-22</t>
        </is>
      </c>
      <c r="B64" s="10" t="inlineStr">
        <is>
          <t>Gráfico da DRE</t>
        </is>
      </c>
      <c r="C64" s="12" t="inlineStr">
        <is>
          <t>Definida</t>
        </is>
      </c>
      <c r="D64" s="10" t="inlineStr">
        <is>
          <t>Definição vigente e trabalho técnico vinculado.</t>
        </is>
      </c>
      <c r="E64" s="10" t="inlineStr">
        <is>
          <t>Aplicar a definição vigente; execução, evidência e aceite são registrados nas tarefas relacionadas.</t>
        </is>
      </c>
      <c r="F64" s="12" t="inlineStr">
        <is>
          <t>Preservar gráfico aprovado e usar métrica/base de cálculo da documentação funcional; valores demonstrativos não impõem resultado. Não somar subtotais sobrepostos como população única.</t>
        </is>
      </c>
      <c r="G64" s="10" t="inlineStr">
        <is>
          <t>T06; Fechamento das questões ainda tratadas como abertas — 13/09/2026</t>
        </is>
      </c>
      <c r="H64" s="10" t="inlineStr">
        <is>
          <t>BK-067</t>
        </is>
      </c>
      <c r="I64" s="10" t="inlineStr">
        <is>
          <t>Regra/atribuição definida</t>
        </is>
      </c>
    </row>
    <row r="65" ht="95" customHeight="1">
      <c r="A65" s="11" t="inlineStr">
        <is>
          <t>Q-23</t>
        </is>
      </c>
      <c r="B65" s="11" t="inlineStr">
        <is>
          <t>Saldos do balancete</t>
        </is>
      </c>
      <c r="C65" s="12" t="inlineStr">
        <is>
          <t>Definida</t>
        </is>
      </c>
      <c r="D65" s="11" t="inlineStr">
        <is>
          <t>Definição vigente e trabalho técnico vinculado.</t>
        </is>
      </c>
      <c r="E65" s="11" t="inlineStr">
        <is>
          <t>Aplicar a definição vigente; execução, evidência e aceite são registrados nas tarefas relacionadas.</t>
        </is>
      </c>
      <c r="F65" s="12" t="inlineStr">
        <is>
          <t>Usar contas, natureza e saldos do Bling, preservando competência; ausência de saldo não equivale a zero. Conferir totais na mesma posição.</t>
        </is>
      </c>
      <c r="G65" s="11" t="inlineStr">
        <is>
          <t>T07; L-08; Fechamento das questões ainda tratadas como abertas — 13/09/2026</t>
        </is>
      </c>
      <c r="H65" s="11" t="inlineStr">
        <is>
          <t>BK-069</t>
        </is>
      </c>
      <c r="I65" s="11" t="inlineStr">
        <is>
          <t>Regra/atribuição definida</t>
        </is>
      </c>
    </row>
    <row r="66" ht="95" customHeight="1">
      <c r="A66" s="10" t="inlineStr">
        <is>
          <t>Q-24</t>
        </is>
      </c>
      <c r="B66" s="10" t="inlineStr">
        <is>
          <t>Ficha técnica de insumos</t>
        </is>
      </c>
      <c r="C66" s="12" t="inlineStr">
        <is>
          <t>Definida</t>
        </is>
      </c>
      <c r="D66" s="10" t="inlineStr">
        <is>
          <t>Definição vigente e trabalho técnico vinculado.</t>
        </is>
      </c>
      <c r="E66" s="10" t="inlineStr">
        <is>
          <t>Aplicar a definição vigente; execução, evidência e aceite são registrados nas tarefas relacionadas.</t>
        </is>
      </c>
      <c r="F66" s="12" t="inlineStr">
        <is>
          <t>Homologar campos reais de BOM, unidades e fatores industriais existentes; perdas operacionais não são yield/scrap. Não pedir nova regra genérica já fechada.</t>
        </is>
      </c>
      <c r="G66" s="10" t="inlineStr">
        <is>
          <t>H_Contrato_Dados!A12:H12; T12; Consolidação das respostas do desenvolvimento — enviada pelo usuário em 13/09/2026; Fechamento das questões ainda tratadas como abertas — 13/09/2026</t>
        </is>
      </c>
      <c r="H66" s="10" t="inlineStr">
        <is>
          <t>BK-094</t>
        </is>
      </c>
      <c r="I66" s="10" t="inlineStr">
        <is>
          <t>Regra/atribuição definida</t>
        </is>
      </c>
    </row>
    <row r="67" ht="95" customHeight="1">
      <c r="A67" s="11" t="inlineStr">
        <is>
          <t>Q-25</t>
        </is>
      </c>
      <c r="B67" s="11" t="inlineStr">
        <is>
          <t>Resumo financeiro projetado</t>
        </is>
      </c>
      <c r="C67" s="12" t="inlineStr">
        <is>
          <t>Referência a localizar</t>
        </is>
      </c>
      <c r="D67" s="11" t="inlineStr">
        <is>
          <t>Definição vigente e trabalho técnico vinculado.</t>
        </is>
      </c>
      <c r="E67" s="11" t="inlineStr">
        <is>
          <t>Aplicar a definição vigente; execução, evidência e aceite são registrados nas tarefas relacionadas.</t>
        </is>
      </c>
      <c r="F67" s="12" t="inlineStr">
        <is>
          <t>Implementar aba prevista na referência aprovada; cenário é planejamento, sem forçar meta de faturamento a coincidir com SKUs por rateio fictício.</t>
        </is>
      </c>
      <c r="G67" s="11" t="inlineStr">
        <is>
          <t>T12; Fechamento das questões ainda tratadas como abertas — 13/09/2026</t>
        </is>
      </c>
      <c r="H67" s="11" t="inlineStr">
        <is>
          <t>BK-095</t>
        </is>
      </c>
      <c r="I67" s="11" t="inlineStr">
        <is>
          <t>Rastreabilidade documental</t>
        </is>
      </c>
    </row>
    <row r="68" ht="95" customHeight="1">
      <c r="A68" s="10" t="inlineStr">
        <is>
          <t>Q-26</t>
        </is>
      </c>
      <c r="B68" s="10" t="inlineStr">
        <is>
          <t>Alertas e monitoramento</t>
        </is>
      </c>
      <c r="C68" s="12" t="inlineStr">
        <is>
          <t>Definida</t>
        </is>
      </c>
      <c r="D68" s="10" t="inlineStr">
        <is>
          <t>Definição vigente e trabalho técnico vinculado.</t>
        </is>
      </c>
      <c r="E68" s="10" t="inlineStr">
        <is>
          <t>Aplicar a definição vigente; execução, evidência e aceite são registrados nas tarefas relacionadas.</t>
        </is>
      </c>
      <c r="F68" s="12" t="inlineStr">
        <is>
          <t>Comportamento/prioridade vêm da documentação consolidada e visual da última referência aprovada. Modelar monitoramento técnico e canais habilitados sem notificações externas presumidas.</t>
        </is>
      </c>
      <c r="G68" s="10" t="inlineStr">
        <is>
          <t>T14; T_CEI_Tela_14; Fechamento das questões ainda tratadas como abertas — 13/09/2026</t>
        </is>
      </c>
      <c r="H68" s="10" t="inlineStr">
        <is>
          <t>BK-120</t>
        </is>
      </c>
      <c r="I68" s="10" t="inlineStr">
        <is>
          <t>Regra/atribuição definida</t>
        </is>
      </c>
    </row>
    <row r="69" ht="95" customHeight="1">
      <c r="A69" s="11" t="inlineStr">
        <is>
          <t>Q-27</t>
        </is>
      </c>
      <c r="B69" s="11" t="inlineStr">
        <is>
          <t>Indicadores de prazo</t>
        </is>
      </c>
      <c r="C69" s="12" t="inlineStr">
        <is>
          <t>Execução técnica pendente</t>
        </is>
      </c>
      <c r="D69" s="11" t="inlineStr">
        <is>
          <t>Definição vigente e trabalho técnico vinculado.</t>
        </is>
      </c>
      <c r="E69" s="11" t="inlineStr">
        <is>
          <t>Aplicar a definição vigente; execução, evidência e aceite são registrados nas tarefas relacionadas.</t>
        </is>
      </c>
      <c r="F69" s="12" t="inlineStr">
        <is>
          <t>Especificar tecnicamente fórmulas, unidades, períodos e fontes dos indicadores já aprovados; reproduzir componentes comprováveis e indisponibilidade, sem inventar números do mockup.</t>
        </is>
      </c>
      <c r="G69" s="11" t="inlineStr">
        <is>
          <t>T08; B_Intersecoes!A12:I12; Fechamento das questões ainda tratadas como abertas — 13/09/2026</t>
        </is>
      </c>
      <c r="H69" s="11" t="inlineStr">
        <is>
          <t>BK-070</t>
        </is>
      </c>
      <c r="I69" s="11" t="inlineStr">
        <is>
          <t>Execução técnica</t>
        </is>
      </c>
    </row>
    <row r="70" ht="95" customHeight="1">
      <c r="A70" s="10" t="inlineStr">
        <is>
          <t>R-01</t>
        </is>
      </c>
      <c r="B70" s="10" t="inlineStr">
        <is>
          <t>Fontes e estruturas externas</t>
        </is>
      </c>
      <c r="C70" s="12" t="inlineStr">
        <is>
          <t>Definida</t>
        </is>
      </c>
      <c r="D70" s="10" t="inlineStr">
        <is>
          <t>Definição vigente e trabalho técnico vinculado.</t>
        </is>
      </c>
      <c r="E70" s="10" t="inlineStr">
        <is>
          <t>Aplicar a definição vigente; execução, evidência e aceite são registrados nas tarefas relacionadas.</t>
        </is>
      </c>
      <c r="F70" s="12" t="inlineStr">
        <is>
          <t>Bling/API + Google Drive — pasta compartilhada Majucau, preservando 01_perdas_operacionais, 02_nuvem_pago/recebimentos_futuros e 03_nuvem_envio. Sem pasta de Itaú, Mercado Pago, investimentos ou ajustes.</t>
        </is>
      </c>
      <c r="G70" s="10" t="inlineStr">
        <is>
          <t>Consolidação das respostas do desenvolvimento — enviada pelo usuário em 13/09/2026; §1; Fechamento das questões ainda tratadas como abertas — 13/09/2026</t>
        </is>
      </c>
      <c r="H70" s="10" t="inlineStr">
        <is>
          <t>BK-010, BK-042, BK-052</t>
        </is>
      </c>
      <c r="I70" s="10" t="inlineStr">
        <is>
          <t>Regra/atribuição definida</t>
        </is>
      </c>
    </row>
    <row r="71" ht="95" customHeight="1">
      <c r="A71" s="11" t="inlineStr">
        <is>
          <t>R-02</t>
        </is>
      </c>
      <c r="B71" s="11" t="inlineStr">
        <is>
          <t>Permissão e rastreio no Drive</t>
        </is>
      </c>
      <c r="C71" s="12" t="inlineStr">
        <is>
          <t>Definida</t>
        </is>
      </c>
      <c r="D71" s="11" t="inlineStr">
        <is>
          <t>Definição vigente e trabalho técnico vinculado.</t>
        </is>
      </c>
      <c r="E71" s="11" t="inlineStr">
        <is>
          <t>Aplicar a definição vigente; execução, evidência e aceite são registrados nas tarefas relacionadas.</t>
        </is>
      </c>
      <c r="F71" s="12" t="inlineStr">
        <is>
          <t>Somente leitura, sem qualquer mutação na origem. Metadados, hashes, lotes, rejeições e vínculos de reprocessamento ficam dentro do Majucau. Correção não sobrescreve fatos silenciosamente.</t>
        </is>
      </c>
      <c r="G71" s="11" t="inlineStr">
        <is>
          <t>Consolidação das respostas do desenvolvimento — enviada pelo usuário em 13/09/2026; §2; Fechamento das questões ainda tratadas como abertas — 13/09/2026</t>
        </is>
      </c>
      <c r="H71" s="11" t="inlineStr">
        <is>
          <t>BK-010, BK-024, BK-038, BK-042, BK-044, BK-118</t>
        </is>
      </c>
      <c r="I71" s="11" t="inlineStr">
        <is>
          <t>Regra/atribuição definida</t>
        </is>
      </c>
    </row>
    <row r="72" ht="95" customHeight="1">
      <c r="A72" s="10" t="inlineStr">
        <is>
          <t>R-03</t>
        </is>
      </c>
      <c r="B72" s="10" t="inlineStr">
        <is>
          <t>Identificação do depósito</t>
        </is>
      </c>
      <c r="C72" s="12" t="inlineStr">
        <is>
          <t>Definida</t>
        </is>
      </c>
      <c r="D72" s="10" t="inlineStr">
        <is>
          <t>Definição vigente e trabalho técnico vinculado.</t>
        </is>
      </c>
      <c r="E72" s="10" t="inlineStr">
        <is>
          <t>Aplicar a definição vigente; execução, evidência e aceite são registrados nas tarefas relacionadas.</t>
        </is>
      </c>
      <c r="F72" s="12" t="inlineStr">
        <is>
          <t>Identificar no cadastro operacional da API, sem hardcode ou escolha automática de Bloqueado. Sem evidência inequívoca: Dado indisponível no Bling.</t>
        </is>
      </c>
      <c r="G72" s="10" t="inlineStr">
        <is>
          <t>Consolidação das respostas do desenvolvimento — enviada pelo usuário em 13/09/2026; §3; Fechamento das questões ainda tratadas como abertas — 13/09/2026</t>
        </is>
      </c>
      <c r="H72" s="10" t="inlineStr">
        <is>
          <t>BK-040, BK-048, BK-077</t>
        </is>
      </c>
      <c r="I72" s="10" t="inlineStr">
        <is>
          <t>Regra/atribuição definida</t>
        </is>
      </c>
    </row>
    <row r="73" ht="95" customHeight="1">
      <c r="A73" s="11" t="inlineStr">
        <is>
          <t>R-04</t>
        </is>
      </c>
      <c r="B73" s="11" t="inlineStr">
        <is>
          <t>Fonte de investimentos</t>
        </is>
      </c>
      <c r="C73" s="12" t="inlineStr">
        <is>
          <t>Definida</t>
        </is>
      </c>
      <c r="D73" s="11" t="inlineStr">
        <is>
          <t>Definição vigente e trabalho técnico vinculado.</t>
        </is>
      </c>
      <c r="E73" s="11" t="inlineStr">
        <is>
          <t>Aplicar a definição vigente; execução, evidência e aceite são registrados nas tarefas relacionadas.</t>
        </is>
      </c>
      <c r="F73" s="12" t="inlineStr">
        <is>
          <t>Conta Caixa no Bling; caixa.php é referência funcional. Usar API oficial ou exportação estruturada oficial. Scraping proibido; não haverá extrato externo na pasta compartilhada.</t>
        </is>
      </c>
      <c r="G73" s="11" t="inlineStr">
        <is>
          <t>Consolidação das respostas do desenvolvimento — enviada pelo usuário em 13/09/2026; §4; Fechamento das questões ainda tratadas como abertas — 13/09/2026</t>
        </is>
      </c>
      <c r="H73" s="11" t="inlineStr">
        <is>
          <t>BK-040, BK-041, BK-071, BK-074</t>
        </is>
      </c>
      <c r="I73" s="11" t="inlineStr">
        <is>
          <t>Regra/atribuição definida</t>
        </is>
      </c>
    </row>
    <row r="74" ht="95" customHeight="1">
      <c r="A74" s="10" t="inlineStr">
        <is>
          <t>R-05</t>
        </is>
      </c>
      <c r="B74" s="10" t="inlineStr">
        <is>
          <t>Categorias de investimentos</t>
        </is>
      </c>
      <c r="C74" s="12" t="inlineStr">
        <is>
          <t>Definida</t>
        </is>
      </c>
      <c r="D74" s="10" t="inlineStr">
        <is>
          <t>Definição vigente e trabalho técnico vinculado.</t>
        </is>
      </c>
      <c r="E74" s="10" t="inlineStr">
        <is>
          <t>Aplicar a definição vigente; execução, evidência e aceite são registrados nas tarefas relacionadas.</t>
        </is>
      </c>
      <c r="F74" s="12" t="inlineStr">
        <is>
          <t>Transferência destinada à aplicação identifica aporte; Rendimentos identifica rendimento realizado. Resgates ainda precisam ser mapeados tecnicamente.</t>
        </is>
      </c>
      <c r="G74" s="10" t="inlineStr">
        <is>
          <t>Consolidação das respostas do desenvolvimento — enviada pelo usuário em 13/09/2026; §5; Fechamento das questões ainda tratadas como abertas — 13/09/2026</t>
        </is>
      </c>
      <c r="H74" s="10" t="inlineStr">
        <is>
          <t>BK-064, BK-071</t>
        </is>
      </c>
      <c r="I74" s="10" t="inlineStr">
        <is>
          <t>Regra/atribuição definida</t>
        </is>
      </c>
    </row>
    <row r="75" ht="95" customHeight="1">
      <c r="A75" s="11" t="inlineStr">
        <is>
          <t>R-06</t>
        </is>
      </c>
      <c r="B75" s="11" t="inlineStr">
        <is>
          <t>Já Investido</t>
        </is>
      </c>
      <c r="C75" s="12" t="inlineStr">
        <is>
          <t>Definida</t>
        </is>
      </c>
      <c r="D75" s="11" t="inlineStr">
        <is>
          <t>Definição vigente e trabalho técnico vinculado.</t>
        </is>
      </c>
      <c r="E75" s="11" t="inlineStr">
        <is>
          <t>Aplicar a definição vigente; execução, evidência e aceite são registrados nas tarefas relacionadas.</t>
        </is>
      </c>
      <c r="F75" s="12" t="inlineStr">
        <is>
          <t>Aportes de principal − resgates de principal. Rendimentos ficam separados e não são novos aportes. Falta provar os componentes no Bling.</t>
        </is>
      </c>
      <c r="G75" s="11" t="inlineStr">
        <is>
          <t>Consolidação das respostas do desenvolvimento — enviada pelo usuário em 13/09/2026; §6; Fechamento das questões ainda tratadas como abertas — 13/09/2026</t>
        </is>
      </c>
      <c r="H75" s="11" t="inlineStr">
        <is>
          <t>BK-006, BK-071, BK-072</t>
        </is>
      </c>
      <c r="I75" s="11" t="inlineStr">
        <is>
          <t>Regra/atribuição definida</t>
        </is>
      </c>
    </row>
    <row r="76" ht="95" customHeight="1">
      <c r="A76" s="10" t="inlineStr">
        <is>
          <t>R-07</t>
        </is>
      </c>
      <c r="B76" s="10" t="inlineStr">
        <is>
          <t>Posição comprovada</t>
        </is>
      </c>
      <c r="C76" s="12" t="inlineStr">
        <is>
          <t>Definida</t>
        </is>
      </c>
      <c r="D76" s="10" t="inlineStr">
        <is>
          <t>Definição vigente e trabalho técnico vinculado.</t>
        </is>
      </c>
      <c r="E76" s="10" t="inlineStr">
        <is>
          <t>Aplicar a definição vigente; execução, evidência e aceite são registrados nas tarefas relacionadas.</t>
        </is>
      </c>
      <c r="F76" s="12" t="inlineStr">
        <is>
          <t>Exibir posição e data somente se disponíveis na fonte; caso contrário mostrar apenas componentes comprováveis. Não presumir rendimento reinvestido.</t>
        </is>
      </c>
      <c r="G76" s="10" t="inlineStr">
        <is>
          <t>Consolidação das respostas do desenvolvimento — enviada pelo usuário em 13/09/2026; §7; Fechamento das questões ainda tratadas como abertas — 13/09/2026</t>
        </is>
      </c>
      <c r="H76" s="10" t="inlineStr">
        <is>
          <t>BK-071, BK-073, BK-074</t>
        </is>
      </c>
      <c r="I76" s="10" t="inlineStr">
        <is>
          <t>Regra/atribuição definida</t>
        </is>
      </c>
    </row>
    <row r="77" ht="95" customHeight="1">
      <c r="A77" s="11" t="inlineStr">
        <is>
          <t>R-08</t>
        </is>
      </c>
      <c r="B77" s="11" t="inlineStr">
        <is>
          <t>Itaú e valor executável</t>
        </is>
      </c>
      <c r="C77" s="12" t="inlineStr">
        <is>
          <t>Definida</t>
        </is>
      </c>
      <c r="D77" s="11" t="inlineStr">
        <is>
          <t>Definição vigente e trabalho técnico vinculado.</t>
        </is>
      </c>
      <c r="E77" s="11" t="inlineStr">
        <is>
          <t>Aplicar a definição vigente; execução, evidência e aceite são registrados nas tarefas relacionadas.</t>
        </is>
      </c>
      <c r="F77" s="12" t="inlineStr">
        <is>
          <t>Itaú é a conta principal e fornece o saldo transferível, via Bling. Valor Executável Hoje = MIN(Máximo Aplicável Financeiramente; Saldo Transferível do Itaú).</t>
        </is>
      </c>
      <c r="G77" s="11" t="inlineStr">
        <is>
          <t>Consolidação das respostas do desenvolvimento — enviada pelo usuário em 13/09/2026; §8; Fechamento das questões ainda tratadas como abertas — 13/09/2026</t>
        </is>
      </c>
      <c r="H77" s="11" t="inlineStr">
        <is>
          <t>BK-006, BK-047, BK-060, BK-072</t>
        </is>
      </c>
      <c r="I77" s="11" t="inlineStr">
        <is>
          <t>Regra/atribuição definida</t>
        </is>
      </c>
    </row>
    <row r="78" ht="95" customHeight="1">
      <c r="A78" s="10" t="inlineStr">
        <is>
          <t>R-09</t>
        </is>
      </c>
      <c r="B78" s="10" t="inlineStr">
        <is>
          <t>Mercado Pago</t>
        </is>
      </c>
      <c r="C78" s="12" t="inlineStr">
        <is>
          <t>Definida</t>
        </is>
      </c>
      <c r="D78" s="10" t="inlineStr">
        <is>
          <t>Definição vigente e trabalho técnico vinculado.</t>
        </is>
      </c>
      <c r="E78" s="10" t="inlineStr">
        <is>
          <t>Aplicar a definição vigente; execução, evidência e aceite são registrados nas tarefas relacionadas.</t>
        </is>
      </c>
      <c r="F78" s="12" t="inlineStr">
        <is>
          <t>Movimentos via Bling; pode compor caixa consolidado, mas não aumenta automaticamente o executável para aplicações que saem do Itaú.</t>
        </is>
      </c>
      <c r="G78" s="10" t="inlineStr">
        <is>
          <t>Consolidação das respostas do desenvolvimento — enviada pelo usuário em 13/09/2026; §9; Fechamento das questões ainda tratadas como abertas — 13/09/2026</t>
        </is>
      </c>
      <c r="H78" s="10" t="inlineStr">
        <is>
          <t>BK-047, BK-060, BK-072</t>
        </is>
      </c>
      <c r="I78" s="10" t="inlineStr">
        <is>
          <t>Regra/atribuição definida</t>
        </is>
      </c>
    </row>
    <row r="79" ht="95" customHeight="1">
      <c r="A79" s="11" t="inlineStr">
        <is>
          <t>R-10</t>
        </is>
      </c>
      <c r="B79" s="11" t="inlineStr">
        <is>
          <t>Nuvem Pago e liquidação</t>
        </is>
      </c>
      <c r="C79" s="12" t="inlineStr">
        <is>
          <t>Definida</t>
        </is>
      </c>
      <c r="D79" s="11" t="inlineStr">
        <is>
          <t>Definição vigente e trabalho técnico vinculado.</t>
        </is>
      </c>
      <c r="E79" s="11" t="inlineStr">
        <is>
          <t>Aplicar a definição vigente; execução, evidência e aceite são registrados nas tarefas relacionadas.</t>
        </is>
      </c>
      <c r="F79" s="12" t="inlineStr">
        <is>
          <t>Fonte Nuvem permanece em 02_nuvem_pago/recebimentos_futuros. A rotina anterior D+1 foi explicitamente substituída por D-1 para análise/conciliação de movimentos; agenda futura continua projetada.</t>
        </is>
      </c>
      <c r="G79" s="11" t="inlineStr">
        <is>
          <t>Consolidação das respostas do desenvolvimento — enviada pelo usuário em 13/09/2026; §10; Fechamento das questões ainda tratadas como abertas — 13/09/2026</t>
        </is>
      </c>
      <c r="H79" s="11" t="inlineStr">
        <is>
          <t>BK-010, BK-046, BK-051, BK-053</t>
        </is>
      </c>
      <c r="I79" s="11" t="inlineStr">
        <is>
          <t>Regra/atribuição definida</t>
        </is>
      </c>
    </row>
    <row r="80" ht="95" customHeight="1">
      <c r="A80" s="10" t="inlineStr">
        <is>
          <t>R-11</t>
        </is>
      </c>
      <c r="B80" s="10" t="inlineStr">
        <is>
          <t>Perdas operacionais</t>
        </is>
      </c>
      <c r="C80" s="12" t="inlineStr">
        <is>
          <t>Definida</t>
        </is>
      </c>
      <c r="D80" s="10" t="inlineStr">
        <is>
          <t>Definição vigente e trabalho técnico vinculado.</t>
        </is>
      </c>
      <c r="E80" s="10" t="inlineStr">
        <is>
          <t>Aplicar a definição vigente; execução, evidência e aceite são registrados nas tarefas relacionadas.</t>
        </is>
      </c>
      <c r="F80" s="12" t="inlineStr">
        <is>
          <t>Fonte 01_perdas_operacionais representa eventos de perda, nunca percentual industrial, scrap, yield ou fator automático de matéria-prima.</t>
        </is>
      </c>
      <c r="G80" s="10" t="inlineStr">
        <is>
          <t>Consolidação das respostas do desenvolvimento — enviada pelo usuário em 13/09/2026; §11; Fechamento das questões ainda tratadas como abertas — 13/09/2026</t>
        </is>
      </c>
      <c r="H80" s="10" t="inlineStr">
        <is>
          <t>BK-050, BK-065, BK-094</t>
        </is>
      </c>
      <c r="I80" s="10" t="inlineStr">
        <is>
          <t>Regra/atribuição definida</t>
        </is>
      </c>
    </row>
    <row r="81" ht="95" customHeight="1">
      <c r="A81" s="11" t="inlineStr">
        <is>
          <t>R-12</t>
        </is>
      </c>
      <c r="B81" s="11" t="inlineStr">
        <is>
          <t>Nuvem Envio</t>
        </is>
      </c>
      <c r="C81" s="12" t="inlineStr">
        <is>
          <t>Definida</t>
        </is>
      </c>
      <c r="D81" s="11" t="inlineStr">
        <is>
          <t>Definição vigente e trabalho técnico vinculado.</t>
        </is>
      </c>
      <c r="E81" s="11" t="inlineStr">
        <is>
          <t>Aplicar a definição vigente; execução, evidência e aceite são registrados nas tarefas relacionadas.</t>
        </is>
      </c>
      <c r="F81" s="12" t="inlineStr">
        <is>
          <t>Fonte 03_nuvem_envio; preservar custo efetivo, frete cobrado, diferença/subsídio, pedido, transportadora, etiqueta e data quando disponíveis, sem compensação silenciosa.</t>
        </is>
      </c>
      <c r="G81" s="11" t="inlineStr">
        <is>
          <t>Consolidação das respostas do desenvolvimento — enviada pelo usuário em 13/09/2026; §12; Fechamento das questões ainda tratadas como abertas — 13/09/2026</t>
        </is>
      </c>
      <c r="H81" s="11" t="inlineStr">
        <is>
          <t>BK-049, BK-064, BK-076</t>
        </is>
      </c>
      <c r="I81" s="11" t="inlineStr">
        <is>
          <t>Regra/atribuição definida</t>
        </is>
      </c>
    </row>
    <row r="82" ht="95" customHeight="1">
      <c r="A82" s="10" t="inlineStr">
        <is>
          <t>R-13</t>
        </is>
      </c>
      <c r="B82" s="10" t="inlineStr">
        <is>
          <t>Base do forecast</t>
        </is>
      </c>
      <c r="C82" s="12" t="inlineStr">
        <is>
          <t>Definida</t>
        </is>
      </c>
      <c r="D82" s="10" t="inlineStr">
        <is>
          <t>Definição vigente e trabalho técnico vinculado.</t>
        </is>
      </c>
      <c r="E82" s="10" t="inlineStr">
        <is>
          <t>Aplicar a definição vigente; execução, evidência e aceite são registrados nas tarefas relacionadas.</t>
        </is>
      </c>
      <c r="F82" s="12" t="inlineStr">
        <is>
          <t>Executar backtest com histórico confiável de 2025 em diante. Não presumir cobertura de 24 meses nem métricas calculadas.</t>
        </is>
      </c>
      <c r="G82" s="10" t="inlineStr">
        <is>
          <t>Consolidação das respostas do desenvolvimento — enviada pelo usuário em 13/09/2026; pendência 9; Fechamento das questões ainda tratadas como abertas — 13/09/2026</t>
        </is>
      </c>
      <c r="H82" s="10" t="inlineStr">
        <is>
          <t>BK-009, BK-087, BK-090</t>
        </is>
      </c>
      <c r="I82" s="10" t="inlineStr">
        <is>
          <t>Regra/atribuição definida</t>
        </is>
      </c>
    </row>
    <row r="83" ht="95" customHeight="1">
      <c r="A83" s="11" t="inlineStr">
        <is>
          <t>R-14</t>
        </is>
      </c>
      <c r="B83" s="11" t="inlineStr">
        <is>
          <t>Refinamento do cacau</t>
        </is>
      </c>
      <c r="C83" s="12" t="inlineStr">
        <is>
          <t>Definida</t>
        </is>
      </c>
      <c r="D83" s="11" t="inlineStr">
        <is>
          <t>Definição vigente e trabalho técnico vinculado.</t>
        </is>
      </c>
      <c r="E83" s="11" t="inlineStr">
        <is>
          <t>Aplicar a definição vigente; execução, evidência e aceite são registrados nas tarefas relacionadas.</t>
        </is>
      </c>
      <c r="F83" s="12" t="inlineStr">
        <is>
          <t>Cacau é inteligência adicional com fontes técnicas a refinar; não bloqueia o motor principal de compras e não cria novas estruturas Drive.</t>
        </is>
      </c>
      <c r="G83" s="11" t="inlineStr">
        <is>
          <t>Consolidação das respostas do desenvolvimento — enviada pelo usuário em 13/09/2026; pendência 10; Fechamento das questões ainda tratadas como abertas — 13/09/2026</t>
        </is>
      </c>
      <c r="H83" s="11" t="inlineStr">
        <is>
          <t>BK-011, BK-085</t>
        </is>
      </c>
      <c r="I83" s="11" t="inlineStr">
        <is>
          <t>Regra/atribuição definida</t>
        </is>
      </c>
    </row>
    <row r="84" ht="95" customHeight="1">
      <c r="A84" s="10" t="inlineStr">
        <is>
          <t>HT-01</t>
        </is>
      </c>
      <c r="B84" s="10" t="inlineStr">
        <is>
          <t>Resgates de principal</t>
        </is>
      </c>
      <c r="C84" s="12" t="inlineStr">
        <is>
          <t>Execução técnica pendente</t>
        </is>
      </c>
      <c r="D84" s="10" t="inlineStr">
        <is>
          <t>Mapear categoria, sinal, conta e aplicação, incluindo resgate parcial/total no Bling. Conceito aportes menos resgates está definido.</t>
        </is>
      </c>
      <c r="E84" s="10" t="inlineStr">
        <is>
          <t>Evidência técnica deve mostrar origem, resultado, limitações e casos de aceite; ausência não pode virar zero.</t>
        </is>
      </c>
      <c r="F84" s="12" t="inlineStr">
        <is>
          <t>Regra funcional definida. Mapeamento, implementação e validação ainda não executados nesta atualização do backlog.</t>
        </is>
      </c>
      <c r="G84" s="10" t="inlineStr">
        <is>
          <t>Consolidação das respostas do desenvolvimento — enviada pelo usuário em 13/09/2026; pendência 1; Fechamento das questões ainda tratadas como abertas — 13/09/2026</t>
        </is>
      </c>
      <c r="H84" s="10" t="inlineStr">
        <is>
          <t>BK-040, BK-071, BK-072</t>
        </is>
      </c>
      <c r="I84" s="10" t="inlineStr">
        <is>
          <t>Homologação técnica</t>
        </is>
      </c>
    </row>
    <row r="85" ht="95" customHeight="1">
      <c r="A85" s="11" t="inlineStr">
        <is>
          <t>HT-02</t>
        </is>
      </c>
      <c r="B85" s="11" t="inlineStr">
        <is>
          <t>Posição comprovada de aplicações</t>
        </is>
      </c>
      <c r="C85" s="12" t="inlineStr">
        <is>
          <t>Execução técnica pendente</t>
        </is>
      </c>
      <c r="D85" s="11" t="inlineStr">
        <is>
          <t>Obter posição, data, instituição e aplicação quando acessíveis; exibir componentes conhecidos sem presumir reinvestimento.</t>
        </is>
      </c>
      <c r="E85" s="11" t="inlineStr">
        <is>
          <t>Evidência técnica deve mostrar origem, resultado, limitações e casos de aceite; ausência não pode virar zero.</t>
        </is>
      </c>
      <c r="F85" s="12" t="inlineStr">
        <is>
          <t>Regra funcional definida. Mapeamento, implementação e validação ainda não executados nesta atualização do backlog.</t>
        </is>
      </c>
      <c r="G85" s="11" t="inlineStr">
        <is>
          <t>Consolidação das respostas do desenvolvimento — enviada pelo usuário em 13/09/2026; pendência 2; Fechamento das questões ainda tratadas como abertas — 13/09/2026</t>
        </is>
      </c>
      <c r="H85" s="11" t="inlineStr">
        <is>
          <t>BK-040, BK-071, BK-074</t>
        </is>
      </c>
      <c r="I85" s="11" t="inlineStr">
        <is>
          <t>Homologação técnica</t>
        </is>
      </c>
    </row>
    <row r="86" ht="95" customHeight="1">
      <c r="A86" s="10" t="inlineStr">
        <is>
          <t>HT-03</t>
        </is>
      </c>
      <c r="B86" s="10" t="inlineStr">
        <is>
          <t>Campos reais de estoque/depósito</t>
        </is>
      </c>
      <c r="C86" s="12" t="inlineStr">
        <is>
          <t>Execução técnica pendente</t>
        </is>
      </c>
      <c r="D86" s="10" t="inlineStr">
        <is>
          <t>Homologar identificação operacional inequívoca, saldos obrigatórios e estados opcionais. Não hardcodar depósito.</t>
        </is>
      </c>
      <c r="E86" s="10" t="inlineStr">
        <is>
          <t>Evidência técnica deve mostrar origem, resultado, limitações e casos de aceite; ausência não pode virar zero.</t>
        </is>
      </c>
      <c r="F86" s="12" t="inlineStr">
        <is>
          <t>Regra funcional definida. Mapeamento, implementação e validação ainda não executados nesta atualização do backlog.</t>
        </is>
      </c>
      <c r="G86" s="10" t="inlineStr">
        <is>
          <t>Consolidação das respostas do desenvolvimento — enviada pelo usuário em 13/09/2026; pendência 3; Fechamento das questões ainda tratadas como abertas — 13/09/2026</t>
        </is>
      </c>
      <c r="H86" s="10" t="inlineStr">
        <is>
          <t>BK-040, BK-048, BK-077</t>
        </is>
      </c>
      <c r="I86" s="10" t="inlineStr">
        <is>
          <t>Homologação técnica</t>
        </is>
      </c>
    </row>
    <row r="87" ht="95" customHeight="1">
      <c r="A87" s="11" t="inlineStr">
        <is>
          <t>HT-04</t>
        </is>
      </c>
      <c r="B87" s="11" t="inlineStr">
        <is>
          <t>Extração e conferência do balancete Bling</t>
        </is>
      </c>
      <c r="C87" s="12" t="inlineStr">
        <is>
          <t>Execução técnica pendente</t>
        </is>
      </c>
      <c r="D87" s="11" t="inlineStr">
        <is>
          <t>Mapear recursos existentes e reproduzir contas/saldos/competência; comparar totais contra Bling, sem nova estrutura contábil.</t>
        </is>
      </c>
      <c r="E87" s="11" t="inlineStr">
        <is>
          <t>Evidência técnica deve mostrar origem, resultado, limitações e casos de aceite; ausência não pode virar zero.</t>
        </is>
      </c>
      <c r="F87" s="12" t="inlineStr">
        <is>
          <t>Regra funcional definida. Mapeamento, implementação e validação ainda não executados nesta atualização do backlog.</t>
        </is>
      </c>
      <c r="G87" s="11" t="inlineStr">
        <is>
          <t>Consolidação das respostas do desenvolvimento — enviada pelo usuário em 13/09/2026; pendência 4; Fechamento das questões ainda tratadas como abertas — 13/09/2026</t>
        </is>
      </c>
      <c r="H87" s="11" t="inlineStr">
        <is>
          <t>BK-007, BK-040, BK-068</t>
        </is>
      </c>
      <c r="I87" s="11" t="inlineStr">
        <is>
          <t>Homologação técnica</t>
        </is>
      </c>
    </row>
    <row r="88" ht="95" customHeight="1">
      <c r="A88" s="10" t="inlineStr">
        <is>
          <t>HT-05</t>
        </is>
      </c>
      <c r="B88" s="10" t="inlineStr">
        <is>
          <t>Custo histórico para análise por SKU</t>
        </is>
      </c>
      <c r="C88" s="12" t="inlineStr">
        <is>
          <t>Execução técnica pendente</t>
        </is>
      </c>
      <c r="D88" s="10" t="inlineStr">
        <is>
          <t>Demonstrar custo histórico versus atual na origem, sem reconstruir a DRE por método paralelo.</t>
        </is>
      </c>
      <c r="E88" s="10" t="inlineStr">
        <is>
          <t>Evidência técnica deve mostrar origem, resultado, limitações e casos de aceite; ausência não pode virar zero.</t>
        </is>
      </c>
      <c r="F88" s="12" t="inlineStr">
        <is>
          <t>Regra funcional definida. Mapeamento, implementação e validação ainda não executados nesta atualização do backlog.</t>
        </is>
      </c>
      <c r="G88" s="10" t="inlineStr">
        <is>
          <t>Consolidação das respostas do desenvolvimento — enviada pelo usuário em 13/09/2026; pendência 5; Fechamento das questões ainda tratadas como abertas — 13/09/2026</t>
        </is>
      </c>
      <c r="H88" s="10" t="inlineStr">
        <is>
          <t>BK-040, BK-063</t>
        </is>
      </c>
      <c r="I88" s="10" t="inlineStr">
        <is>
          <t>Homologação técnica</t>
        </is>
      </c>
    </row>
    <row r="89" ht="95" customHeight="1">
      <c r="A89" s="11" t="inlineStr">
        <is>
          <t>HT-06</t>
        </is>
      </c>
      <c r="B89" s="11" t="inlineStr">
        <is>
          <t>DRE própria: extração e comparação</t>
        </is>
      </c>
      <c r="C89" s="12" t="inlineStr">
        <is>
          <t>Execução técnica pendente</t>
        </is>
      </c>
      <c r="D89" s="11" t="inlineStr">
        <is>
          <t>Mapear lançamentos e campos de origem necessários às linhas já aprovadas da DRE, preservar competência e rastreabilidade, e comparar o resultado do Majucau com o relatório do Bling.</t>
        </is>
      </c>
      <c r="E89" s="11" t="inlineStr">
        <is>
          <t>Evidência técnica deve mostrar origem, resultado, limitações e casos de aceite; ausência não pode virar zero.</t>
        </is>
      </c>
      <c r="F89" s="12" t="inlineStr">
        <is>
          <t>Regra funcional definida. Mapeamento, implementação e validação ainda não executados nesta atualização do backlog.</t>
        </is>
      </c>
      <c r="G89" s="11" t="inlineStr">
        <is>
          <t>Consolidação das respostas do desenvolvimento — enviada pelo usuário em 13/09/2026; pendência 6; Fechamento das questões ainda tratadas como abertas — 13/09/2026</t>
        </is>
      </c>
      <c r="H89" s="11" t="inlineStr">
        <is>
          <t>BK-007, BK-040, BK-064, BK-066</t>
        </is>
      </c>
      <c r="I89" s="11" t="inlineStr">
        <is>
          <t>Homologação técnica</t>
        </is>
      </c>
    </row>
    <row r="90" ht="95" customHeight="1">
      <c r="A90" s="10" t="inlineStr">
        <is>
          <t>HT-07</t>
        </is>
      </c>
      <c r="B90" s="10" t="inlineStr">
        <is>
          <t>BOM e demanda temporal de insumos</t>
        </is>
      </c>
      <c r="C90" s="12" t="inlineStr">
        <is>
          <t>Execução técnica pendente</t>
        </is>
      </c>
      <c r="D90" s="10" t="inlineStr">
        <is>
          <t>Homologar componentes, quantidades e unidades; converter produção necessária em consumo por data sem fatores de perdas operacionais.</t>
        </is>
      </c>
      <c r="E90" s="10" t="inlineStr">
        <is>
          <t>Evidência técnica deve mostrar origem, resultado, limitações e casos de aceite; ausência não pode virar zero.</t>
        </is>
      </c>
      <c r="F90" s="12" t="inlineStr">
        <is>
          <t>Regra funcional definida. Mapeamento, implementação e validação ainda não executados nesta atualização do backlog.</t>
        </is>
      </c>
      <c r="G90" s="10" t="inlineStr">
        <is>
          <t>Consolidação das respostas do desenvolvimento — enviada pelo usuário em 13/09/2026; pendência 7; Fechamento das questões ainda tratadas como abertas — 13/09/2026</t>
        </is>
      </c>
      <c r="H90" s="10" t="inlineStr">
        <is>
          <t>BK-040, BK-048, BK-094</t>
        </is>
      </c>
      <c r="I90" s="10" t="inlineStr">
        <is>
          <t>Homologação técnica</t>
        </is>
      </c>
    </row>
    <row r="91" ht="95" customHeight="1">
      <c r="A91" s="11" t="inlineStr">
        <is>
          <t>HT-08</t>
        </is>
      </c>
      <c r="B91" s="11" t="inlineStr">
        <is>
          <t>Chaves reais e corte D-1</t>
        </is>
      </c>
      <c r="C91" s="12" t="inlineStr">
        <is>
          <t>Execução técnica pendente</t>
        </is>
      </c>
      <c r="D91" s="11" t="inlineStr">
        <is>
          <t>Implementar ID Bling/fallback nome+valor sem ambiguidade, D-1 normal e exceção corrente expressa; preservar agenda futura e impedir dupla contagem.</t>
        </is>
      </c>
      <c r="E91" s="11" t="inlineStr">
        <is>
          <t>Evidência técnica deve mostrar origem, resultado, limitações e casos de aceite; ausência não pode virar zero.</t>
        </is>
      </c>
      <c r="F91" s="12" t="inlineStr">
        <is>
          <t>Regra funcional definida. Mapeamento, implementação e validação ainda não executados nesta atualização do backlog.</t>
        </is>
      </c>
      <c r="G91" s="11" t="inlineStr">
        <is>
          <t>Consolidação das respostas do desenvolvimento — enviada pelo usuário em 13/09/2026; pendência 8; Fechamento das questões ainda tratadas como abertas — 13/09/2026</t>
        </is>
      </c>
      <c r="H91" s="11" t="inlineStr">
        <is>
          <t>BK-010, BK-040, BK-046, BK-053</t>
        </is>
      </c>
      <c r="I91" s="11" t="inlineStr">
        <is>
          <t>Homologação técnica</t>
        </is>
      </c>
    </row>
    <row r="92" ht="95" customHeight="1">
      <c r="A92" s="10" t="inlineStr">
        <is>
          <t>HT-09</t>
        </is>
      </c>
      <c r="B92" s="10" t="inlineStr">
        <is>
          <t>Validação temporal do forecast</t>
        </is>
      </c>
      <c r="C92" s="12" t="inlineStr">
        <is>
          <t>Execução técnica pendente</t>
        </is>
      </c>
      <c r="D92" s="10" t="inlineStr">
        <is>
          <t>Executar backtest com histórico confiável de 2025 em diante, cobertura real, métricas e limitações comprovadas.</t>
        </is>
      </c>
      <c r="E92" s="10" t="inlineStr">
        <is>
          <t>Evidência técnica deve mostrar origem, resultado, limitações e casos de aceite; ausência não pode virar zero.</t>
        </is>
      </c>
      <c r="F92" s="12" t="inlineStr">
        <is>
          <t>Regra funcional definida. Mapeamento, implementação e validação ainda não executados nesta atualização do backlog.</t>
        </is>
      </c>
      <c r="G92" s="10" t="inlineStr">
        <is>
          <t>Consolidação das respostas do desenvolvimento — enviada pelo usuário em 13/09/2026; pendência 9; Fechamento das questões ainda tratadas como abertas — 13/09/2026</t>
        </is>
      </c>
      <c r="H92" s="10" t="inlineStr">
        <is>
          <t>BK-009, BK-087, BK-090</t>
        </is>
      </c>
      <c r="I92" s="10" t="inlineStr">
        <is>
          <t>Homologação técnica</t>
        </is>
      </c>
    </row>
    <row r="93" ht="95" customHeight="1">
      <c r="A93" s="11" t="inlineStr">
        <is>
          <t>HT-10</t>
        </is>
      </c>
      <c r="B93" s="11" t="inlineStr">
        <is>
          <t>Sinais adicionais do cacau</t>
        </is>
      </c>
      <c r="C93" s="12" t="inlineStr">
        <is>
          <t>Execução técnica pendente</t>
        </is>
      </c>
      <c r="D93" s="11" t="inlineStr">
        <is>
          <t>Refinar fontes, localidades reais e comparações, sem bloquear recomendação operacional. Verificar somente fontes habilitadas.</t>
        </is>
      </c>
      <c r="E93" s="11" t="inlineStr">
        <is>
          <t>Evidência técnica deve mostrar origem, resultado, limitações e casos de aceite; ausência não pode virar zero.</t>
        </is>
      </c>
      <c r="F93" s="12" t="inlineStr">
        <is>
          <t>Regra funcional definida. Mapeamento, implementação e validação ainda não executados nesta atualização do backlog.</t>
        </is>
      </c>
      <c r="G93" s="11" t="inlineStr">
        <is>
          <t>Consolidação das respostas do desenvolvimento — enviada pelo usuário em 13/09/2026; pendência 10; Fechamento das questões ainda tratadas como abertas — 13/09/2026</t>
        </is>
      </c>
      <c r="H93" s="11" t="inlineStr">
        <is>
          <t>BK-011, BK-085</t>
        </is>
      </c>
      <c r="I93" s="11" t="inlineStr">
        <is>
          <t>Homologação técnica</t>
        </is>
      </c>
    </row>
    <row r="94" ht="95" customHeight="1">
      <c r="A94" s="10" t="inlineStr">
        <is>
          <t>F-01</t>
        </is>
      </c>
      <c r="B94" s="10" t="inlineStr">
        <is>
          <t>Calculadora: contrato fechado</t>
        </is>
      </c>
      <c r="C94" s="12" t="inlineStr">
        <is>
          <t>Definida</t>
        </is>
      </c>
      <c r="D94" s="10" t="inlineStr">
        <is>
          <t>Definição recebida no fechamento vigente.</t>
        </is>
      </c>
      <c r="E94" s="10" t="inlineStr">
        <is>
          <t>Aplicar nas tarefas vinculadas e verificar com evidência na implementação futura.</t>
        </is>
      </c>
      <c r="F94" s="12" t="inlineStr">
        <is>
          <t>O lucro elegível usa a DRE calculada pelo Majucau conforme regras aprovadas, de janeiro até M−2, menos Já Investido (aportes de principal − resgates de principal; rendimentos separados). Seguindo a planilha enviada, o caixa projetado na semana de maior despesa soma o saldo da semana crítica e os recebimentos previstos da Nuvemshop; na integração, confirmar que os recebimentos não estejam já incluídos no saldo para evitar duplicidade. Máximo aplicável = MAX(0; MIN(caixa projetado − reserva mínima de R$ 50.000; lucro elegível)). Valor executável limitado ao saldo transferível do Itaú; tela apenas para consulta. Se a reserva mínima puder ser comprometida, sugerir uma reserva alternativa; o cálculo será definido no documento atualizado pela usuária e não deve ser inventado. Cartão/MDR/parcelas não pertencem à calculadora.</t>
        </is>
      </c>
      <c r="G94" s="10" t="inlineStr">
        <is>
          <t>Fechamento das questões ainda tratadas como abertas — 13/09/2026; §1; planilha Calculadora_Aplicacao_Lucro_Liquido_Profissional (1).xlsm enviada em 10/10/2026; esclarecimento posterior da usuária sobre reserva alternativa</t>
        </is>
      </c>
      <c r="H94" s="10" t="inlineStr">
        <is>
          <t>BK-006, BK-019, BK-061, BK-072</t>
        </is>
      </c>
      <c r="I94" s="10" t="inlineStr">
        <is>
          <t>Regra/atribuição definida</t>
        </is>
      </c>
    </row>
    <row r="95" ht="95" customHeight="1">
      <c r="A95" s="11" t="inlineStr">
        <is>
          <t>F-02</t>
        </is>
      </c>
      <c r="B95" s="11" t="inlineStr">
        <is>
          <t>DRE própria do Majucau; Bling para comparação</t>
        </is>
      </c>
      <c r="C95" s="12" t="inlineStr">
        <is>
          <t>Definida</t>
        </is>
      </c>
      <c r="D95" s="11" t="inlineStr">
        <is>
          <t>Regra definida; critérios específicos da empresa dependem de validação contábil.</t>
        </is>
      </c>
      <c r="E95" s="11" t="inlineStr">
        <is>
          <t>Aplicar o cálculo próprio e comparar com o Bling sem alterar a tela ou as regras aprovadas.</t>
        </is>
      </c>
      <c r="F95" s="12" t="inlineStr">
        <is>
          <t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t>
        </is>
      </c>
      <c r="G95" s="11" t="inlineStr">
        <is>
          <t>Decisão G0 de 04/10/2026; docs/DRE-ACCOUNTING-POLICY-v1.md; substitui a orientação de 13/09/2026</t>
        </is>
      </c>
      <c r="H95" s="11" t="inlineStr">
        <is>
          <t>BK-006, BK-007, BK-040, BK-064, BK-066, BK-067</t>
        </is>
      </c>
      <c r="I95" s="11" t="inlineStr">
        <is>
          <t>Regra/atribuição definida</t>
        </is>
      </c>
    </row>
    <row r="96" ht="95" customHeight="1">
      <c r="A96" s="10" t="inlineStr">
        <is>
          <t>F-03</t>
        </is>
      </c>
      <c r="B96" s="10" t="inlineStr">
        <is>
          <t>Balancete: reproduzir a origem</t>
        </is>
      </c>
      <c r="C96" s="12" t="inlineStr">
        <is>
          <t>Definida</t>
        </is>
      </c>
      <c r="D96" s="10" t="inlineStr">
        <is>
          <t>Definição recebida no fechamento vigente.</t>
        </is>
      </c>
      <c r="E96" s="10" t="inlineStr">
        <is>
          <t>Aplicar nas tarefas vinculadas e verificar com evidência na implementação futura.</t>
        </is>
      </c>
      <c r="F96" s="12" t="inlineStr">
        <is>
          <t>O usuário informa base suficiente no Bling. Mapear recursos reais, reproduzir contas/saldos/competência e comparar totais; elemento específico não acessível = Dado indisponível no Bling.</t>
        </is>
      </c>
      <c r="G96" s="10" t="inlineStr">
        <is>
          <t>Fechamento das questões ainda tratadas como abertas — 13/09/2026; §2</t>
        </is>
      </c>
      <c r="H96" s="10" t="inlineStr">
        <is>
          <t>BK-007, BK-040, BK-068, BK-069</t>
        </is>
      </c>
      <c r="I96" s="10" t="inlineStr">
        <is>
          <t>Regra/atribuição definida</t>
        </is>
      </c>
    </row>
    <row r="97" ht="95" customHeight="1">
      <c r="A97" s="11" t="inlineStr">
        <is>
          <t>F-04</t>
        </is>
      </c>
      <c r="B97" s="11" t="inlineStr">
        <is>
          <t>Compra líquida e cobertura parcial</t>
        </is>
      </c>
      <c r="C97" s="12" t="inlineStr">
        <is>
          <t>Definida</t>
        </is>
      </c>
      <c r="D97" s="11" t="inlineStr">
        <is>
          <t>Definição recebida no fechamento vigente.</t>
        </is>
      </c>
      <c r="E97" s="11" t="inlineStr">
        <is>
          <t>Aplicar nas tarefas vinculadas e verificar com evidência na implementação futura.</t>
        </is>
      </c>
      <c r="F97" s="12" t="inlineStr">
        <is>
          <t>Necessidade bruta − estoque utilizável − cobertura pendente que chega em tempo. Exemplo: 100−20−30=50 kg. Pedido parcial não exclui insumo; pedido tardio não cobre necessidade anterior à chegada.</t>
        </is>
      </c>
      <c r="G97" s="11" t="inlineStr">
        <is>
          <t>Fechamento das questões ainda tratadas como abertas — 13/09/2026; §3.1</t>
        </is>
      </c>
      <c r="H97" s="11" t="inlineStr">
        <is>
          <t>BK-008, BK-082, BK-084, BK-094</t>
        </is>
      </c>
      <c r="I97" s="11" t="inlineStr">
        <is>
          <t>Regra/atribuição definida</t>
        </is>
      </c>
    </row>
    <row r="98" ht="95" customHeight="1">
      <c r="A98" s="10" t="inlineStr">
        <is>
          <t>F-05</t>
        </is>
      </c>
      <c r="B98" s="10" t="inlineStr">
        <is>
          <t>Prioridade de compra</t>
        </is>
      </c>
      <c r="C98" s="12" t="inlineStr">
        <is>
          <t>Definida</t>
        </is>
      </c>
      <c r="D98" s="10" t="inlineStr">
        <is>
          <t>Definição recebida no fechamento vigente.</t>
        </is>
      </c>
      <c r="E98" s="10" t="inlineStr">
        <is>
          <t>Aplicar nas tarefas vinculadas e verificar com evidência na implementação futura.</t>
        </is>
      </c>
      <c r="F98" s="12" t="inlineStr">
        <is>
          <t>Priorizar risco imediato de ruptura e impacto na produção usando cobertura, demanda, lead time, pedidos e datas reais. Distinguir temporalidade e cobertura; não inventar prioridade aleatória.</t>
        </is>
      </c>
      <c r="G98" s="10" t="inlineStr">
        <is>
          <t>Fechamento das questões ainda tratadas como abertas — 13/09/2026; §3.2</t>
        </is>
      </c>
      <c r="H98" s="10" t="inlineStr">
        <is>
          <t>BK-008, BK-083, BK-084, BK-086</t>
        </is>
      </c>
      <c r="I98" s="10" t="inlineStr">
        <is>
          <t>Regra/atribuição definida</t>
        </is>
      </c>
    </row>
    <row r="99" ht="95" customHeight="1">
      <c r="A99" s="11" t="inlineStr">
        <is>
          <t>F-06</t>
        </is>
      </c>
      <c r="B99" s="11" t="inlineStr">
        <is>
          <t>Custos e tarifas separados</t>
        </is>
      </c>
      <c r="C99" s="12" t="inlineStr">
        <is>
          <t>Definida</t>
        </is>
      </c>
      <c r="D99" s="11" t="inlineStr">
        <is>
          <t>Definição recebida no fechamento vigente.</t>
        </is>
      </c>
      <c r="E99" s="11" t="inlineStr">
        <is>
          <t>Aplicar nas tarefas vinculadas e verificar com evidência na implementação futura.</t>
        </is>
      </c>
      <c r="F99" s="12" t="inlineStr">
        <is>
          <t>Bruto, variável, fixo, critério de rateio e custo apropriado separados. Usar apropriação Bling existente; não multiplicar tarifa integral por produto nem inventar rateio. Não misturar custo com quantidade a comprar.</t>
        </is>
      </c>
      <c r="G99" s="11" t="inlineStr">
        <is>
          <t>Fechamento das questões ainda tratadas como abertas — 13/09/2026; §3.3</t>
        </is>
      </c>
      <c r="H99" s="11" t="inlineStr">
        <is>
          <t>BK-075, BK-084</t>
        </is>
      </c>
      <c r="I99" s="11" t="inlineStr">
        <is>
          <t>Regra/atribuição definida</t>
        </is>
      </c>
    </row>
    <row r="100" ht="95" customHeight="1">
      <c r="A100" s="10" t="inlineStr">
        <is>
          <t>F-07</t>
        </is>
      </c>
      <c r="B100" s="10" t="inlineStr">
        <is>
          <t>Cacau independente do motor principal</t>
        </is>
      </c>
      <c r="C100" s="12" t="inlineStr">
        <is>
          <t>Definida</t>
        </is>
      </c>
      <c r="D100" s="10" t="inlineStr">
        <is>
          <t>Definição recebida no fechamento vigente.</t>
        </is>
      </c>
      <c r="E100" s="10" t="inlineStr">
        <is>
          <t>Aplicar nas tarefas vinculadas e verificar com evidência na implementação futura.</t>
        </is>
      </c>
      <c r="F100" s="12" t="inlineStr">
        <is>
          <t>Inteligência adicional usa localidades reais dos pequenos produtores e sinais comparáveis. Refinar fontes de preço/clima sem impedir compras operacionais; ausência de sinal não cria região ou preço.</t>
        </is>
      </c>
      <c r="G100" s="10" t="inlineStr">
        <is>
          <t>Fechamento das questões ainda tratadas como abertas — 13/09/2026; §3.4</t>
        </is>
      </c>
      <c r="H100" s="10" t="inlineStr">
        <is>
          <t>BK-011, BK-085, BK-086</t>
        </is>
      </c>
      <c r="I100" s="10" t="inlineStr">
        <is>
          <t>Regra/atribuição definida</t>
        </is>
      </c>
    </row>
    <row r="101" ht="95" customHeight="1">
      <c r="A101" s="11" t="inlineStr">
        <is>
          <t>F-08</t>
        </is>
      </c>
      <c r="B101" s="11" t="inlineStr">
        <is>
          <t>Produção e métrica única</t>
        </is>
      </c>
      <c r="C101" s="12" t="inlineStr">
        <is>
          <t>Definida</t>
        </is>
      </c>
      <c r="D101" s="11" t="inlineStr">
        <is>
          <t>Definição recebida no fechamento vigente.</t>
        </is>
      </c>
      <c r="E101" s="11" t="inlineStr">
        <is>
          <t>Aplicar nas tarefas vinculadas e verificar com evidência na implementação futura.</t>
        </is>
      </c>
      <c r="F101" s="12" t="inlineStr">
        <is>
          <t>Realizado vem do Bling. T01 Produzido Geral e T10 detalhe usam mesma função, fonte, snapshot e universo; mesma métrica em qualquer componente tem mesmo resultado.</t>
        </is>
      </c>
      <c r="G101" s="11" t="inlineStr">
        <is>
          <t>Fechamento das questões ainda tratadas como abertas — 13/09/2026; §4.1–4.3</t>
        </is>
      </c>
      <c r="H101" s="11" t="inlineStr">
        <is>
          <t>BK-020, BK-080, BK-081, BK-102</t>
        </is>
      </c>
      <c r="I101" s="11" t="inlineStr">
        <is>
          <t>Regra/atribuição definida</t>
        </is>
      </c>
    </row>
    <row r="102" ht="95" customHeight="1">
      <c r="A102" s="10" t="inlineStr">
        <is>
          <t>F-09</t>
        </is>
      </c>
      <c r="B102" s="10" t="inlineStr">
        <is>
          <t>Status temporal de produção</t>
        </is>
      </c>
      <c r="C102" s="12" t="inlineStr">
        <is>
          <t>Definida</t>
        </is>
      </c>
      <c r="D102" s="10" t="inlineStr">
        <is>
          <t>Definição recebida no fechamento vigente.</t>
        </is>
      </c>
      <c r="E102" s="10" t="inlineStr">
        <is>
          <t>Aplicar nas tarefas vinculadas e verificar com evidência na implementação futura.</t>
        </is>
      </c>
      <c r="F102" s="12" t="inlineStr">
        <is>
          <t>Realizado &gt;= meta = atingida. Em andamento/abaixo dependem do plano no ponto temporal; sem granularidade, não inventar atraso, tolerância ou andamento linear.</t>
        </is>
      </c>
      <c r="G102" s="10" t="inlineStr">
        <is>
          <t>Fechamento das questões ainda tratadas como abertas — 13/09/2026; §4.4</t>
        </is>
      </c>
      <c r="H102" s="10" t="inlineStr">
        <is>
          <t>BK-008, BK-080, BK-081</t>
        </is>
      </c>
      <c r="I102" s="10" t="inlineStr">
        <is>
          <t>Regra/atribuição definida</t>
        </is>
      </c>
    </row>
    <row r="103" ht="95" customHeight="1">
      <c r="A103" s="11" t="inlineStr">
        <is>
          <t>F-10</t>
        </is>
      </c>
      <c r="B103" s="11" t="inlineStr">
        <is>
          <t>Produção considera estoque</t>
        </is>
      </c>
      <c r="C103" s="12" t="inlineStr">
        <is>
          <t>Definida</t>
        </is>
      </c>
      <c r="D103" s="11" t="inlineStr">
        <is>
          <t>Definição recebida no fechamento vigente.</t>
        </is>
      </c>
      <c r="E103" s="11" t="inlineStr">
        <is>
          <t>Aplicar nas tarefas vinculadas e verificar com evidência na implementação futura.</t>
        </is>
      </c>
      <c r="F103" s="12" t="inlineStr">
        <is>
          <t>Forecast por SKU → demanda → estoque/reposição → produção → BOM/insumos/compras. Considerar estoque utilizável e produção válida sem dupla contagem; regra antiga sem desconto de estoque foi superada.</t>
        </is>
      </c>
      <c r="G103" s="11" t="inlineStr">
        <is>
          <t>Fechamento das questões ainda tratadas como abertas — 13/09/2026; §4.5</t>
        </is>
      </c>
      <c r="H103" s="11" t="inlineStr">
        <is>
          <t>BK-009, BK-092, BK-093, BK-094</t>
        </is>
      </c>
      <c r="I103" s="11" t="inlineStr">
        <is>
          <t>Regra/atribuição definida</t>
        </is>
      </c>
    </row>
    <row r="104" ht="95" customHeight="1">
      <c r="A104" s="10" t="inlineStr">
        <is>
          <t>F-11</t>
        </is>
      </c>
      <c r="B104" s="10" t="inlineStr">
        <is>
          <t>Meta financeira não fabrica SKUs</t>
        </is>
      </c>
      <c r="C104" s="12" t="inlineStr">
        <is>
          <t>Definida</t>
        </is>
      </c>
      <c r="D104" s="10" t="inlineStr">
        <is>
          <t>Definição recebida no fechamento vigente.</t>
        </is>
      </c>
      <c r="E104" s="10" t="inlineStr">
        <is>
          <t>Aplicar nas tarefas vinculadas e verificar com evidência na implementação futura.</t>
        </is>
      </c>
      <c r="F104" s="12" t="inlineStr">
        <is>
          <t>Meta de faturamento é referência comercial/cenário. Forecast se fundamenta em histórico; meta direta por produto só é planejamento quando existir explicitamente. Não ratear total financeiro automaticamente em unidades.</t>
        </is>
      </c>
      <c r="G104" s="10" t="inlineStr">
        <is>
          <t>Fechamento das questões ainda tratadas como abertas — 13/09/2026; §4.6</t>
        </is>
      </c>
      <c r="H104" s="10" t="inlineStr">
        <is>
          <t>BK-009, BK-079, BK-091, BK-095, BK-096</t>
        </is>
      </c>
      <c r="I104" s="10" t="inlineStr">
        <is>
          <t>Regra/atribuição definida</t>
        </is>
      </c>
    </row>
    <row r="105" ht="95" customHeight="1">
      <c r="A105" s="11" t="inlineStr">
        <is>
          <t>F-12</t>
        </is>
      </c>
      <c r="B105" s="11" t="inlineStr">
        <is>
          <t>Cobertura histórica real</t>
        </is>
      </c>
      <c r="C105" s="12" t="inlineStr">
        <is>
          <t>Definida</t>
        </is>
      </c>
      <c r="D105" s="11" t="inlineStr">
        <is>
          <t>Definição recebida no fechamento vigente.</t>
        </is>
      </c>
      <c r="E105" s="11" t="inlineStr">
        <is>
          <t>Aplicar nas tarefas vinculadas e verificar com evidência na implementação futura.</t>
        </is>
      </c>
      <c r="F105" s="12" t="inlineStr">
        <is>
          <t>Usar histórico confiável de 2025 em diante e medir cobertura real por SKU; não completar meses ou assumir venda zero. Qualidade requer backtest real.</t>
        </is>
      </c>
      <c r="G105" s="11" t="inlineStr">
        <is>
          <t>Fechamento das questões ainda tratadas como abertas — 13/09/2026; §4.7</t>
        </is>
      </c>
      <c r="H105" s="11" t="inlineStr">
        <is>
          <t>BK-087, BK-089, BK-090</t>
        </is>
      </c>
      <c r="I105" s="11" t="inlineStr">
        <is>
          <t>Regra/atribuição definida</t>
        </is>
      </c>
    </row>
    <row r="106" ht="95" customHeight="1">
      <c r="A106" s="10" t="inlineStr">
        <is>
          <t>F-13</t>
        </is>
      </c>
      <c r="B106" s="10" t="inlineStr">
        <is>
          <t>Precedência e design congelado</t>
        </is>
      </c>
      <c r="C106" s="12" t="inlineStr">
        <is>
          <t>Definida</t>
        </is>
      </c>
      <c r="D106" s="10" t="inlineStr">
        <is>
          <t>Definição recebida no fechamento vigente.</t>
        </is>
      </c>
      <c r="E106" s="10" t="inlineStr">
        <is>
          <t>Aplicar nas tarefas vinculadas e verificar com evidência na implementação futura.</t>
        </is>
      </c>
      <c r="F106" s="12" t="inlineStr">
        <is>
          <t>Visual/layout: mockup aprovado. Fonte/cálculo/comportamento: documentação consolidada. Usar última versão aprovada/congelada, sem redesenho. Artefato ausente precisa ser localizado, sem reabrir a aprovação.</t>
        </is>
      </c>
      <c r="G106" s="10" t="inlineStr">
        <is>
          <t>Fechamento das questões ainda tratadas como abertas — 13/09/2026; §5</t>
        </is>
      </c>
      <c r="H106" s="10" t="inlineStr">
        <is>
          <t>BK-000, BK-004, BK-021, BK-022, BK-108</t>
        </is>
      </c>
      <c r="I106" s="10" t="inlineStr">
        <is>
          <t>Regra/atribuição definida</t>
        </is>
      </c>
    </row>
    <row r="107" ht="95" customHeight="1">
      <c r="A107" s="11" t="inlineStr">
        <is>
          <t>F-14</t>
        </is>
      </c>
      <c r="B107" s="11" t="inlineStr">
        <is>
          <t>Exportação aprovada preservada</t>
        </is>
      </c>
      <c r="C107" s="12" t="inlineStr">
        <is>
          <t>Definida</t>
        </is>
      </c>
      <c r="D107" s="11" t="inlineStr">
        <is>
          <t>Definição recebida no fechamento vigente.</t>
        </is>
      </c>
      <c r="E107" s="11" t="inlineStr">
        <is>
          <t>Aplicar nas tarefas vinculadas e verificar com evidência na implementação futura.</t>
        </is>
      </c>
      <c r="F107" s="12" t="inlineStr">
        <is>
          <t>Manter exportações aprovadas, inclusive Excel onde especificado. Arquivo usa os mesmos dados, filtros, período, snapshot e métricas da tela.</t>
        </is>
      </c>
      <c r="G107" s="11" t="inlineStr">
        <is>
          <t>Fechamento das questões ainda tratadas como abertas — 13/09/2026; §5.7</t>
        </is>
      </c>
      <c r="H107" s="11" t="inlineStr">
        <is>
          <t>BK-012, BK-097, BK-104, BK-109</t>
        </is>
      </c>
      <c r="I107" s="11" t="inlineStr">
        <is>
          <t>Regra/atribuição definida</t>
        </is>
      </c>
    </row>
    <row r="108" ht="95" customHeight="1">
      <c r="A108" s="10" t="inlineStr">
        <is>
          <t>F-15</t>
        </is>
      </c>
      <c r="B108" s="10" t="inlineStr">
        <is>
          <t>Capacidades e menor privilégio</t>
        </is>
      </c>
      <c r="C108" s="12" t="inlineStr">
        <is>
          <t>Definida</t>
        </is>
      </c>
      <c r="D108" s="10" t="inlineStr">
        <is>
          <t>Definição recebida no fechamento vigente.</t>
        </is>
      </c>
      <c r="E108" s="10" t="inlineStr">
        <is>
          <t>Aplicar nas tarefas vinculadas e verificar com evidência na implementação futura.</t>
        </is>
      </c>
      <c r="F108" s="12" t="inlineStr">
        <is>
          <t>Usuário + perfil + capacidade. Separar leitura/exportação/metas/parâmetros/pendências/usuários/auditoria; não hardcodar nomes nem permitir autoelevação.</t>
        </is>
      </c>
      <c r="G108" s="10" t="inlineStr">
        <is>
          <t>Fechamento das questões ainda tratadas como abertas — 13/09/2026; §6.1–6.2</t>
        </is>
      </c>
      <c r="H108" s="10" t="inlineStr">
        <is>
          <t>BK-013, BK-032, BK-033, BK-035</t>
        </is>
      </c>
      <c r="I108" s="10" t="inlineStr">
        <is>
          <t>Regra/atribuição definida</t>
        </is>
      </c>
    </row>
    <row r="109" ht="95" customHeight="1">
      <c r="A109" s="11" t="inlineStr">
        <is>
          <t>F-16</t>
        </is>
      </c>
      <c r="B109" s="11" t="inlineStr">
        <is>
          <t>Vigência, fechamento e auditoria</t>
        </is>
      </c>
      <c r="C109" s="12" t="inlineStr">
        <is>
          <t>Definida</t>
        </is>
      </c>
      <c r="D109" s="11" t="inlineStr">
        <is>
          <t>Definição recebida no fechamento vigente.</t>
        </is>
      </c>
      <c r="E109" s="11" t="inlineStr">
        <is>
          <t>Aplicar nas tarefas vinculadas e verificar com evidência na implementação futura.</t>
        </is>
      </c>
      <c r="F109" s="12" t="inlineStr">
        <is>
          <t>Metas são planejamento. Alterações registram usuário, antes/depois, data, período e vigência. Período fechado não muda silenciosamente; reprocessamento é explícito, autorizado, auditado e preserva versão anterior.</t>
        </is>
      </c>
      <c r="G109" s="11" t="inlineStr">
        <is>
          <t>Fechamento das questões ainda tratadas como abertas — 13/09/2026; §6.3–6.8</t>
        </is>
      </c>
      <c r="H109" s="11" t="inlineStr">
        <is>
          <t>BK-034, BK-036, BK-037, BK-038, BK-079, BK-098</t>
        </is>
      </c>
      <c r="I109" s="11" t="inlineStr">
        <is>
          <t>Regra/atribuição definida</t>
        </is>
      </c>
    </row>
    <row r="110" ht="95" customHeight="1">
      <c r="A110" s="10" t="inlineStr">
        <is>
          <t>F-17</t>
        </is>
      </c>
      <c r="B110" s="10" t="inlineStr">
        <is>
          <t>Operação é engenharia</t>
        </is>
      </c>
      <c r="C110" s="12" t="inlineStr">
        <is>
          <t>Definida</t>
        </is>
      </c>
      <c r="D110" s="10" t="inlineStr">
        <is>
          <t>Definição recebida no fechamento vigente.</t>
        </is>
      </c>
      <c r="E110" s="10" t="inlineStr">
        <is>
          <t>Aplicar nas tarefas vinculadas e verificar com evidência na implementação futura.</t>
        </is>
      </c>
      <c r="F110" s="12" t="inlineStr">
        <is>
          <t>Windows local por serviços independentes de login humano, inicialização controlada, autenticação, segredos no backend, backup automático, restauração testada, logs e suporte documentados. Acesso externo só quando habilitado.</t>
        </is>
      </c>
      <c r="G110" s="10" t="inlineStr">
        <is>
          <t>Fechamento das questões ainda tratadas como abertas — 13/09/2026; §7</t>
        </is>
      </c>
      <c r="H110" s="10" t="inlineStr">
        <is>
          <t>BK-014, BK-114, BK-115, BK-118, BK-119, BK-120, BK-123</t>
        </is>
      </c>
      <c r="I110" s="10" t="inlineStr">
        <is>
          <t>Regra/atribuição definida</t>
        </is>
      </c>
    </row>
    <row r="111" ht="95" customHeight="1">
      <c r="A111" s="11" t="inlineStr">
        <is>
          <t>F-18</t>
        </is>
      </c>
      <c r="B111" s="11" t="inlineStr">
        <is>
          <t>Bling e exceções específicas</t>
        </is>
      </c>
      <c r="C111" s="12" t="inlineStr">
        <is>
          <t>Definida</t>
        </is>
      </c>
      <c r="D111" s="11" t="inlineStr">
        <is>
          <t>Definição recebida no fechamento vigente.</t>
        </is>
      </c>
      <c r="E111" s="11" t="inlineStr">
        <is>
          <t>Aplicar nas tarefas vinculadas e verificar com evidência na implementação futura.</t>
        </is>
      </c>
      <c r="F111" s="12" t="inlineStr">
        <is>
          <t>Bling é principal para fatos operacionais/financeiros. Drive read-only: perdas operacionais, recebíveis futuros Nuvem e dados específicos Nuvem Envio. Exceções não substituem fatos Bling fora de seu escopo.</t>
        </is>
      </c>
      <c r="G111" s="11" t="inlineStr">
        <is>
          <t>Fechamento das questões ainda tratadas como abertas — 13/09/2026; §8.1–8.5,8.14</t>
        </is>
      </c>
      <c r="H111" s="11" t="inlineStr">
        <is>
          <t>BK-010, BK-046, BK-049, BK-052, BK-060, BK-065</t>
        </is>
      </c>
      <c r="I111" s="11" t="inlineStr">
        <is>
          <t>Regra/atribuição definida</t>
        </is>
      </c>
    </row>
    <row r="112" ht="95" customHeight="1">
      <c r="A112" s="10" t="inlineStr">
        <is>
          <t>F-19</t>
        </is>
      </c>
      <c r="B112" s="10" t="inlineStr">
        <is>
          <t>Conciliação normal em D-1</t>
        </is>
      </c>
      <c r="C112" s="12" t="inlineStr">
        <is>
          <t>Definida</t>
        </is>
      </c>
      <c r="D112" s="10" t="inlineStr">
        <is>
          <t>Definição recebida no fechamento vigente.</t>
        </is>
      </c>
      <c r="E112" s="10" t="inlineStr">
        <is>
          <t>Aplicar nas tarefas vinculadas e verificar com evidência na implementação futura.</t>
        </is>
      </c>
      <c r="F112" s="12" t="inlineStr">
        <is>
          <t>Análise/conciliação normal de movimentos vai até o dia anterior. Dia corrente somente mediante solicitação expressa. Não generalizar a exceção de 04/09/2026 em regra fixa de sexta-feira/feriado. D-1 não corta a agenda futura nem define frequência da coleta.</t>
        </is>
      </c>
      <c r="G112" s="10" t="inlineStr">
        <is>
          <t>Fechamento das questões ainda tratadas como abertas — 13/09/2026; §8.11</t>
        </is>
      </c>
      <c r="H112" s="10" t="inlineStr">
        <is>
          <t>BK-010, BK-039, BK-051, BK-053, BK-054, BK-056, BK-060, BK-123</t>
        </is>
      </c>
      <c r="I112" s="10" t="inlineStr">
        <is>
          <t>Regra/atribuição definida</t>
        </is>
      </c>
    </row>
    <row r="113" ht="95" customHeight="1">
      <c r="A113" s="11" t="inlineStr">
        <is>
          <t>F-20</t>
        </is>
      </c>
      <c r="B113" s="11" t="inlineStr">
        <is>
          <t>Conciliação, ausência e idempotência</t>
        </is>
      </c>
      <c r="C113" s="12" t="inlineStr">
        <is>
          <t>Definida</t>
        </is>
      </c>
      <c r="D113" s="11" t="inlineStr">
        <is>
          <t>Definição recebida no fechamento vigente.</t>
        </is>
      </c>
      <c r="E113" s="11" t="inlineStr">
        <is>
          <t>Aplicar nas tarefas vinculadas e verificar com evidência na implementação futura.</t>
        </is>
      </c>
      <c r="F113" s="12" t="inlineStr">
        <is>
          <t>ID Bling prioritário; identificação/nome+valor no fallback; ambiguidade não concilia automaticamente. Ausência != zero; PENDING_RECONCILIATION fora de indicadores que exigem reconciliação. Repetição não duplica fatos/KPIs; origem é rastreável.</t>
        </is>
      </c>
      <c r="G113" s="11" t="inlineStr">
        <is>
          <t>Fechamento das questões ainda tratadas como abertas — 13/09/2026; §8.6–8.13</t>
        </is>
      </c>
      <c r="H113" s="11" t="inlineStr">
        <is>
          <t>BK-020, BK-038, BK-044, BK-053, BK-054, BK-056, BK-107</t>
        </is>
      </c>
      <c r="I113" s="11" t="inlineStr">
        <is>
          <t>Regra/atribuição definida</t>
        </is>
      </c>
    </row>
  </sheetData>
  <dataValidations count="1">
    <dataValidation sqref="C6:C113" showDropDown="0" showInputMessage="0" showErrorMessage="0" allowBlank="0" type="list">
      <formula1>"Definida,Execução técnica pendente,Referência a localizar"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2.5" customWidth="1" min="1" max="1"/>
    <col width="36.88000106811523" customWidth="1" min="2" max="2"/>
    <col width="38.13000106811523" customWidth="1" min="3" max="3"/>
    <col width="70" customWidth="1" min="4" max="4"/>
    <col width="15.63000011444092" customWidth="1" min="5" max="5"/>
  </cols>
  <sheetData>
    <row r="1" ht="28" customHeight="1">
      <c r="A1" s="2" t="n"/>
      <c r="B1" s="2" t="n"/>
      <c r="C1" s="2" t="n"/>
      <c r="D1" s="2" t="n"/>
      <c r="E1" s="2" t="n"/>
    </row>
    <row r="2" ht="28" customHeight="1">
      <c r="A2" s="3" t="inlineStr">
        <is>
          <t>Majucau — cobertura dos módulos</t>
        </is>
      </c>
      <c r="B2" s="2" t="n"/>
      <c r="C2" s="2" t="n"/>
      <c r="D2" s="2" t="n"/>
      <c r="E2" s="2" t="n"/>
    </row>
    <row r="3" ht="28" customHeight="1">
      <c r="A3" s="2" t="inlineStr">
        <is>
          <t>Balanço Patrimonial foi excluído por decisão atual. Itens incompletos permanecem para refinamento.</t>
        </is>
      </c>
      <c r="B3" s="2" t="n"/>
      <c r="C3" s="2" t="n"/>
      <c r="D3" s="2" t="n"/>
      <c r="E3" s="2" t="n"/>
    </row>
    <row r="4" ht="28" customHeight="1">
      <c r="A4" s="2" t="n"/>
      <c r="B4" s="2" t="n"/>
      <c r="C4" s="2" t="n"/>
      <c r="D4" s="2" t="n"/>
      <c r="E4" s="2" t="n"/>
    </row>
    <row r="5" ht="34" customHeight="1">
      <c r="A5" s="8" t="inlineStr">
        <is>
          <t>Identificação</t>
        </is>
      </c>
      <c r="B5" s="8" t="inlineStr">
        <is>
          <t>Módulo</t>
        </is>
      </c>
      <c r="C5" s="8" t="inlineStr">
        <is>
          <t>Material disponível</t>
        </is>
      </c>
      <c r="D5" s="8" t="inlineStr">
        <is>
          <t>Referência</t>
        </is>
      </c>
      <c r="E5" s="8" t="inlineStr">
        <is>
          <t>Tarefa de interface</t>
        </is>
      </c>
    </row>
    <row r="6" ht="54" customHeight="1">
      <c r="A6" s="10" t="inlineStr">
        <is>
          <t>T01</t>
        </is>
      </c>
      <c r="B6" s="10" t="inlineStr">
        <is>
          <t>Visão Executiva</t>
        </is>
      </c>
      <c r="C6" s="10" t="inlineStr">
        <is>
          <t>Referência aprovada a localizar no pacote</t>
        </is>
      </c>
      <c r="D6" s="10" t="inlineStr">
        <is>
          <t>Menus; fechamento vigente (função/fonte)</t>
        </is>
      </c>
      <c r="E6" s="10" t="inlineStr">
        <is>
          <t>BK-102</t>
        </is>
      </c>
    </row>
    <row r="7" ht="54" customHeight="1">
      <c r="A7" s="11" t="inlineStr">
        <is>
          <t>T02</t>
        </is>
      </c>
      <c r="B7" s="11" t="inlineStr">
        <is>
          <t>Fluxo de Caixa</t>
        </is>
      </c>
      <c r="C7" s="11" t="inlineStr">
        <is>
          <t>Imagem recebida</t>
        </is>
      </c>
      <c r="D7" s="11" t="inlineStr">
        <is>
          <t>T02_Fluxo_de_Caixa.png; fechamento vigente (função/fonte)</t>
        </is>
      </c>
      <c r="E7" s="11" t="inlineStr">
        <is>
          <t>BK-062</t>
        </is>
      </c>
    </row>
    <row r="8" ht="54" customHeight="1">
      <c r="A8" s="10" t="inlineStr">
        <is>
          <t>T03</t>
        </is>
      </c>
      <c r="B8" s="10" t="inlineStr">
        <is>
          <t>Contas a Receber</t>
        </is>
      </c>
      <c r="C8" s="10" t="inlineStr">
        <is>
          <t>Imagem recebida</t>
        </is>
      </c>
      <c r="D8" s="10" t="inlineStr">
        <is>
          <t>T03_Contas_a_Receber.png; fechamento vigente (função/fonte)</t>
        </is>
      </c>
      <c r="E8" s="10" t="inlineStr">
        <is>
          <t>BK-057</t>
        </is>
      </c>
    </row>
    <row r="9" ht="54" customHeight="1">
      <c r="A9" s="11" t="inlineStr">
        <is>
          <t>T04</t>
        </is>
      </c>
      <c r="B9" s="11" t="inlineStr">
        <is>
          <t>Contas a Pagar</t>
        </is>
      </c>
      <c r="C9" s="11" t="inlineStr">
        <is>
          <t>Imagem recebida</t>
        </is>
      </c>
      <c r="D9" s="11" t="inlineStr">
        <is>
          <t>T04_Contas_a_Pagar.png; fechamento vigente (função/fonte)</t>
        </is>
      </c>
      <c r="E9" s="11" t="inlineStr">
        <is>
          <t>BK-059</t>
        </is>
      </c>
    </row>
    <row r="10" ht="54" customHeight="1">
      <c r="A10" s="10" t="inlineStr">
        <is>
          <t>T05</t>
        </is>
      </c>
      <c r="B10" s="10" t="inlineStr">
        <is>
          <t>Conciliação</t>
        </is>
      </c>
      <c r="C10" s="10" t="inlineStr">
        <is>
          <t>Imagem recebida</t>
        </is>
      </c>
      <c r="D10" s="10" t="inlineStr">
        <is>
          <t>T05_Conciliacao.png; fechamento vigente (função/fonte)</t>
        </is>
      </c>
      <c r="E10" s="10" t="inlineStr">
        <is>
          <t>BK-055</t>
        </is>
      </c>
    </row>
    <row r="11" ht="54" customHeight="1">
      <c r="A11" s="11" t="inlineStr">
        <is>
          <t>T06</t>
        </is>
      </c>
      <c r="B11" s="11" t="inlineStr">
        <is>
          <t>DRE</t>
        </is>
      </c>
      <c r="C11" s="11" t="inlineStr">
        <is>
          <t>Imagem recebida</t>
        </is>
      </c>
      <c r="D11" s="11" t="inlineStr">
        <is>
          <t>T06_DRE.png; fechamento vigente (função/fonte)</t>
        </is>
      </c>
      <c r="E11" s="11" t="inlineStr">
        <is>
          <t>BK-067</t>
        </is>
      </c>
    </row>
    <row r="12" ht="54" customHeight="1">
      <c r="A12" s="10" t="inlineStr">
        <is>
          <t>T07</t>
        </is>
      </c>
      <c r="B12" s="10" t="inlineStr">
        <is>
          <t>Balancete</t>
        </is>
      </c>
      <c r="C12" s="10" t="inlineStr">
        <is>
          <t>Imagem recebida</t>
        </is>
      </c>
      <c r="D12" s="10" t="inlineStr">
        <is>
          <t>T07_Balancete.png; fechamento vigente (função/fonte)</t>
        </is>
      </c>
      <c r="E12" s="10" t="inlineStr">
        <is>
          <t>BK-069</t>
        </is>
      </c>
    </row>
    <row r="13" ht="54" customHeight="1">
      <c r="A13" s="11" t="inlineStr">
        <is>
          <t>T08</t>
        </is>
      </c>
      <c r="B13" s="11" t="inlineStr">
        <is>
          <t>Calculadora de Aplicação</t>
        </is>
      </c>
      <c r="C13" s="11" t="inlineStr">
        <is>
          <t>Imagem recebida</t>
        </is>
      </c>
      <c r="D13" s="11" t="inlineStr">
        <is>
          <t>T08_Calculadora_de_Aplicacao.png; fechamento vigente (função/fonte)</t>
        </is>
      </c>
      <c r="E13" s="11" t="inlineStr">
        <is>
          <t>BK-073</t>
        </is>
      </c>
    </row>
    <row r="14" ht="54" customHeight="1">
      <c r="A14" s="10" t="inlineStr">
        <is>
          <t>T09</t>
        </is>
      </c>
      <c r="B14" s="10" t="inlineStr">
        <is>
          <t>Estoque</t>
        </is>
      </c>
      <c r="C14" s="10" t="inlineStr">
        <is>
          <t>Imagem recebida</t>
        </is>
      </c>
      <c r="D14" s="10" t="inlineStr">
        <is>
          <t>T09_Estoque.png; fechamento vigente (função/fonte)</t>
        </is>
      </c>
      <c r="E14" s="10" t="inlineStr">
        <is>
          <t>BK-078</t>
        </is>
      </c>
    </row>
    <row r="15" ht="54" customHeight="1">
      <c r="A15" s="11" t="inlineStr">
        <is>
          <t>T10</t>
        </is>
      </c>
      <c r="B15" s="11" t="inlineStr">
        <is>
          <t>Produção</t>
        </is>
      </c>
      <c r="C15" s="11" t="inlineStr">
        <is>
          <t>2 arquivos idênticos</t>
        </is>
      </c>
      <c r="D15" s="11" t="inlineStr">
        <is>
          <t>T10_Producao.png + ChatGPT Image 12 de set. de 2026, 20_48_11.png; fechamento vigente (função/fonte)</t>
        </is>
      </c>
      <c r="E15" s="11" t="inlineStr">
        <is>
          <t>BK-081</t>
        </is>
      </c>
    </row>
    <row r="16" ht="54" customHeight="1">
      <c r="A16" s="10" t="inlineStr">
        <is>
          <t>T11</t>
        </is>
      </c>
      <c r="B16" s="10" t="inlineStr">
        <is>
          <t>Compras</t>
        </is>
      </c>
      <c r="C16" s="10" t="inlineStr">
        <is>
          <t>Contrato recebido; visual aprovado a localizar</t>
        </is>
      </c>
      <c r="D16" s="10" t="inlineStr">
        <is>
          <t>Q_CEI_Tela_11; fechamento vigente (função/fonte)</t>
        </is>
      </c>
      <c r="E16" s="10" t="inlineStr">
        <is>
          <t>BK-086</t>
        </is>
      </c>
    </row>
    <row r="17" ht="54" customHeight="1">
      <c r="A17" s="11" t="inlineStr">
        <is>
          <t>T12</t>
        </is>
      </c>
      <c r="B17" s="11" t="inlineStr">
        <is>
          <t>Projeções</t>
        </is>
      </c>
      <c r="C17" s="11" t="inlineStr">
        <is>
          <t>Imagem e contrato</t>
        </is>
      </c>
      <c r="D17" s="11" t="inlineStr">
        <is>
          <t>T12_Projecoes.png + R_CEI_Tela_12; fechamento vigente (função/fonte)</t>
        </is>
      </c>
      <c r="E17" s="11" t="inlineStr">
        <is>
          <t>BK-096</t>
        </is>
      </c>
    </row>
    <row r="18" ht="54" customHeight="1">
      <c r="A18" s="10" t="inlineStr">
        <is>
          <t>T13</t>
        </is>
      </c>
      <c r="B18" s="10" t="inlineStr">
        <is>
          <t>Lançamentos e Pendências</t>
        </is>
      </c>
      <c r="C18" s="10" t="inlineStr">
        <is>
          <t>Imagem e contrato</t>
        </is>
      </c>
      <c r="D18" s="10" t="inlineStr">
        <is>
          <t>T13_Lancamentos_e_Pendencias.png + S_CEI_Tela_13; fechamento vigente (função/fonte)</t>
        </is>
      </c>
      <c r="E18" s="10" t="inlineStr">
        <is>
          <t>BK-099</t>
        </is>
      </c>
    </row>
    <row r="19" ht="54" customHeight="1">
      <c r="A19" s="11" t="inlineStr">
        <is>
          <t>T14</t>
        </is>
      </c>
      <c r="B19" s="11" t="inlineStr">
        <is>
          <t>Alertas</t>
        </is>
      </c>
      <c r="C19" s="11" t="inlineStr">
        <is>
          <t>Imagem e contrato</t>
        </is>
      </c>
      <c r="D19" s="11" t="inlineStr">
        <is>
          <t>T14_Alertas.png + T_CEI_Tela_14; fechamento vigente (função/fonte)</t>
        </is>
      </c>
      <c r="E19" s="11" t="inlineStr">
        <is>
          <t>BK-101</t>
        </is>
      </c>
    </row>
    <row r="20" ht="54" customHeight="1">
      <c r="A20" s="10" t="inlineStr">
        <is>
          <t>T15</t>
        </is>
      </c>
      <c r="B20" s="10" t="inlineStr">
        <is>
          <t>Importações e Integrações</t>
        </is>
      </c>
      <c r="C20" s="10" t="inlineStr">
        <is>
          <t>Imagem e contrato</t>
        </is>
      </c>
      <c r="D20" s="10" t="inlineStr">
        <is>
          <t>T15_Importacoes_e_Integracoes.png + U_CEI_Tela_15; fechamento vigente (função/fonte)</t>
        </is>
      </c>
      <c r="E20" s="10" t="inlineStr">
        <is>
          <t>BK-052</t>
        </is>
      </c>
    </row>
    <row r="21" ht="54" customHeight="1">
      <c r="A21" s="11" t="inlineStr">
        <is>
          <t>T16</t>
        </is>
      </c>
      <c r="B21" s="11" t="inlineStr">
        <is>
          <t>Parâmetros</t>
        </is>
      </c>
      <c r="C21" s="11" t="inlineStr">
        <is>
          <t>Imagem e contrato</t>
        </is>
      </c>
      <c r="D21" s="11" t="inlineStr">
        <is>
          <t>T16_Parametros.png + V_Mockup_Tela_16 + W_CEI_Tela_16; fechamento vigente (função/fonte)</t>
        </is>
      </c>
      <c r="E21" s="11" t="inlineStr">
        <is>
          <t>BK-037</t>
        </is>
      </c>
    </row>
    <row r="22" ht="54" customHeight="1">
      <c r="A22" s="10" t="inlineStr">
        <is>
          <t>T17</t>
        </is>
      </c>
      <c r="B22" s="10" t="inlineStr">
        <is>
          <t>Usuários</t>
        </is>
      </c>
      <c r="C22" s="10" t="inlineStr">
        <is>
          <t>Imagem e contrato</t>
        </is>
      </c>
      <c r="D22" s="10" t="inlineStr">
        <is>
          <t>T17_Usuarios.png + X_Mockup_Tela_17 + Y_CEI_Tela_17; fechamento vigente (função/fonte)</t>
        </is>
      </c>
      <c r="E22" s="10" t="inlineStr">
        <is>
          <t>BK-035</t>
        </is>
      </c>
    </row>
    <row r="23" ht="54" customHeight="1">
      <c r="A23" s="11" t="inlineStr">
        <is>
          <t>Sem número confirmado</t>
        </is>
      </c>
      <c r="B23" s="11" t="inlineStr">
        <is>
          <t>Aplicações</t>
        </is>
      </c>
      <c r="C23" s="11" t="inlineStr">
        <is>
          <t>Referência aprovada a localizar no pacote</t>
        </is>
      </c>
      <c r="D23" s="11" t="inlineStr">
        <is>
          <t>Menu + T08; fechamento vigente (função/fonte)</t>
        </is>
      </c>
      <c r="E23" s="11" t="inlineStr">
        <is>
          <t>BK-074</t>
        </is>
      </c>
    </row>
    <row r="24" ht="54" customHeight="1">
      <c r="A24" s="10" t="inlineStr">
        <is>
          <t>Bloco a localizar</t>
        </is>
      </c>
      <c r="B24" s="10" t="inlineStr">
        <is>
          <t>Pricing / preço e margem</t>
        </is>
      </c>
      <c r="C24" s="10" t="inlineStr">
        <is>
          <t>Localizar referência funcional/visual aprovada</t>
        </is>
      </c>
      <c r="D24" s="10" t="inlineStr">
        <is>
          <t>M-021..M-023; fechamento vigente (função/fonte)</t>
        </is>
      </c>
      <c r="E24" s="10" t="inlineStr">
        <is>
          <t>BK-075</t>
        </is>
      </c>
    </row>
    <row r="25" ht="54" customHeight="1">
      <c r="A25" s="11" t="inlineStr">
        <is>
          <t>Bloco a localizar</t>
        </is>
      </c>
      <c r="B25" s="11" t="inlineStr">
        <is>
          <t>Logística</t>
        </is>
      </c>
      <c r="C25" s="11" t="inlineStr">
        <is>
          <t>Localizar referência funcional/visual aprovada</t>
        </is>
      </c>
      <c r="D25" s="11" t="inlineStr">
        <is>
          <t>M-013..M-016; fechamento vigente (função/fonte)</t>
        </is>
      </c>
      <c r="E25" s="11" t="inlineStr">
        <is>
          <t>BK-076</t>
        </is>
      </c>
    </row>
    <row r="26" ht="54" customHeight="1">
      <c r="A26" s="10" t="inlineStr">
        <is>
          <t>Escopo a detalhar</t>
        </is>
      </c>
      <c r="B26" s="10" t="inlineStr">
        <is>
          <t>Produtos, Simuladores e Relatórios</t>
        </is>
      </c>
      <c r="C26" s="10" t="inlineStr">
        <is>
          <t>Localizar referência funcional/visual aprovada</t>
        </is>
      </c>
      <c r="D26" s="10" t="inlineStr">
        <is>
          <t>T12/T13; fechamento vigente (função/fonte)</t>
        </is>
      </c>
      <c r="E26" s="10" t="inlineStr">
        <is>
          <t>BK-103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2026-10-11T01:47:16Z</dcterms:created>
  <dcterms:modified xsi:type="dcterms:W3CDTF">2026-10-11T01:49:04Z</dcterms:modified>
</cp:coreProperties>
</file>