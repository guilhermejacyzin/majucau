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87b8b478bb49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9f8b358d92054016"/>
    <x:sheet xmlns:r="http://schemas.openxmlformats.org/officeDocument/2006/relationships" name="Tarefas" sheetId="2" r:id="R97e07191fdaf4cbf"/>
    <x:sheet xmlns:r="http://schemas.openxmlformats.org/officeDocument/2006/relationships" name="Decisoes" sheetId="3" r:id="R5cebae253aae4592"/>
    <x:sheet xmlns:r="http://schemas.openxmlformats.org/officeDocument/2006/relationships" name="Cobertura" sheetId="4" r:id="R0c25ca39311849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 patternType="solid"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0edce35d86403c" /><Relationship Type="http://schemas.openxmlformats.org/officeDocument/2006/relationships/theme" Target="/xl/theme/theme1.xml" Id="Re074406b19314f4d" /><Relationship Type="http://schemas.openxmlformats.org/officeDocument/2006/relationships/sharedStrings" Target="/xl/sharedStrings.xml" Id="R0e96e5df5c95449f" /><Relationship Type="http://schemas.openxmlformats.org/officeDocument/2006/relationships/worksheet" Target="/xl/worksheets/sheet1.xml" Id="R9f8b358d92054016" /><Relationship Type="http://schemas.openxmlformats.org/officeDocument/2006/relationships/worksheet" Target="/xl/worksheets/sheet2.xml" Id="R97e07191fdaf4cbf" /><Relationship Type="http://schemas.openxmlformats.org/officeDocument/2006/relationships/worksheet" Target="/xl/worksheets/sheet3.xml" Id="R5cebae253aae4592" /><Relationship Type="http://schemas.openxmlformats.org/officeDocument/2006/relationships/worksheet" Target="/xl/worksheets/sheet4.xml" Id="R0c25ca3931184984" /></Relationships>
</file>

<file path=xl/tables/table1.xml><?xml version="1.0" encoding="utf-8"?>
<x:table xmlns:x="http://schemas.openxmlformats.org/spreadsheetml/2006/main" id="1" name="MajucauTarefas" displayName="MajucauTarefas" ref="A5:M132" headerRowCount="1" totalsRowCount="0" totalsRowShown="0">
  <x:tableColumns count="13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ncluíd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059819fc40e4cc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b4f7be7cf22409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93950ba41d241b3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Versão 2 | 13/09/2026 | Escopo em refinamento | Sem desenvolvimento do produto nesta etapa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COUNTIFS('Tarefas'!$D$6:$D$132,"Planejamento",'Tarefas'!$G$6:$G$132,1)</x:f>
        <x:v>3</x:v>
      </x:c>
      <x:c r="C7" s="11" t="str">
        <x:v>Com evidência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Conclusão por peso</x:v>
      </x:c>
      <x:c r="B8" s="23" t="n">
        <x:f>SUM('Tarefas'!$M$6:$M$132)/SUM('Tarefas'!$F$6:$F$132)</x:f>
        <x:v>0.023622047244094488</x:v>
      </x:c>
      <x:c r="C8" s="11" t="str">
        <x:v>Peso inicial = 1</x:v>
      </x:c>
      <x:c r="D8" s="2"/>
      <x:c r="E8" s="2" t="str">
        <x:v>Hospedagem</x:v>
      </x:c>
      <x:c r="F8" s="2" t="str">
        <x:v>Local, Windows</x:v>
      </x:c>
      <x:c r="G8" s="2"/>
    </x:row>
    <x:row r="9" ht="30" customHeight="1">
      <x:c r="A9" s="2" t="str">
        <x:v>Desenvolvimento do produto</x:v>
      </x:c>
      <x:c r="B9" s="23" t="n">
        <x:f>SUMIFS('Tarefas'!$M$6:$M$132,'Tarefas'!$D$6:$D$132,"Desenvolvimento")/SUMIFS('Tarefas'!$F$6:$F$132,'Tarefas'!$D$6:$D$132,"Desenvolvimento")</x:f>
        <x:v>0</x:v>
      </x:c>
      <x:c r="C9" s="11" t="str">
        <x:v>Tarefas de desenvolvimento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/>
      <x:c r="B11" s="2"/>
      <x:c r="C11" s="2"/>
      <x:c r="D11" s="2"/>
      <x:c r="E11" s="2" t="str">
        <x:v>Semana crítica</x:v>
      </x:c>
      <x:c r="F11" s="2" t="str">
        <x:v>Maior total de despesas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 de origem</x:v>
      </x:c>
      <x:c r="F12" s="2" t="str">
        <x:v>Bling por competência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Concluído</x:v>
      </x:c>
      <x:c r="D13" s="2"/>
      <x:c r="E13" s="2" t="str">
        <x:v>Balanço Patrimonial</x:v>
      </x:c>
      <x:c r="F13" s="2" t="str">
        <x:v>Fora do escopo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SUMIFS('Tarefas'!$M$6:$M$132,'Tarefas'!$B$6:$B$132,A14)/SUMIFS('Tarefas'!$F$6:$F$132,'Tarefas'!$B$6:$B$132,A14)</x:f>
        <x:v>0.1875</x:v>
      </x:c>
      <x:c r="D14" s="2"/>
      <x:c r="E14" s="2" t="str">
        <x:v>Referências</x:v>
      </x:c>
      <x:c r="F14" s="2" t="str">
        <x:v>Última versão aprovada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SUMIFS('Tarefas'!$M$6:$M$132,'Tarefas'!$B$6:$B$132,A15)/SUMIFS('Tarefas'!$F$6:$F$132,'Tarefas'!$B$6:$B$132,A15)</x:f>
        <x:v>0</x:v>
      </x:c>
      <x:c r="D15" s="2"/>
      <x:c r="E15" s="2"/>
      <x:c r="F15" s="2"/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SUMIFS('Tarefas'!$M$6:$M$132,'Tarefas'!$B$6:$B$132,A16)/SUMIFS('Tarefas'!$F$6:$F$132,'Tarefas'!$B$6:$B$132,A16)</x:f>
        <x:v>0</x:v>
      </x:c>
      <x:c r="D16" s="2"/>
      <x:c r="E16" s="2"/>
      <x:c r="F16" s="2"/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SUMIFS('Tarefas'!$M$6:$M$132,'Tarefas'!$B$6:$B$132,A17)/SUMIFS('Tarefas'!$F$6:$F$132,'Tarefas'!$B$6:$B$132,A17)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SUMIFS('Tarefas'!$M$6:$M$132,'Tarefas'!$B$6:$B$132,A18)/SUMIFS('Tarefas'!$F$6:$F$132,'Tarefas'!$B$6:$B$132,A18)</x:f>
        <x:v>0</x:v>
      </x:c>
      <x:c r="D18" s="2"/>
      <x:c r="E18" s="2" t="str">
        <x:v>Na aba Tarefas, atualize Situação e Evidência de aceite.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SUMIFS('Tarefas'!$M$6:$M$132,'Tarefas'!$B$6:$B$132,A19)/SUMIFS('Tarefas'!$F$6:$F$132,'Tarefas'!$B$6:$B$132,A19)</x:f>
        <x:v>0</x:v>
      </x:c>
      <x:c r="D19" s="2"/>
      <x:c r="E19" s="2" t="str">
        <x:v>Concluída + evidência preenchida produz 100% na tarefa.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SUMIFS('Tarefas'!$M$6:$M$132,'Tarefas'!$B$6:$B$132,A20)/SUMIFS('Tarefas'!$F$6:$F$132,'Tarefas'!$B$6:$B$132,A20)</x:f>
        <x:v>0</x:v>
      </x:c>
      <x:c r="D20" s="2"/>
      <x:c r="E20" s="2" t="str">
        <x:v>Em andamento indica atividade; não conta como entrega concluída.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SUMIFS('Tarefas'!$M$6:$M$132,'Tarefas'!$B$6:$B$132,A21)/SUMIFS('Tarefas'!$F$6:$F$132,'Tarefas'!$B$6:$B$132,A21)</x:f>
        <x:v>0</x:v>
      </x:c>
      <x:c r="D21" s="2"/>
      <x:c r="E21" s="2" t="str">
        <x:v>Peso inicial 1 mede quantidade, sem estimativa de esforço.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SUMIFS('Tarefas'!$M$6:$M$132,'Tarefas'!$B$6:$B$132,A22)/SUMIFS('Tarefas'!$F$6:$F$132,'Tarefas'!$B$6:$B$132,A22)</x:f>
        <x:v>0</x:v>
      </x:c>
      <x:c r="D22" s="2"/>
      <x:c r="E22" s="2" t="str">
        <x:v>Após estimar com a equipe, revise os pesos e registre a mudança.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SUMIFS('Tarefas'!$M$6:$M$132,'Tarefas'!$B$6:$B$132,A23)/SUMIFS('Tarefas'!$F$6:$F$132,'Tarefas'!$B$6:$B$132,A23)</x:f>
        <x:v>0</x:v>
      </x:c>
      <x:c r="D23" s="2"/>
      <x:c r="E23" s="2" t="str">
        <x:v>As fórmulas consideram todas as linhas atuais, mesmo filtradas.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SUMIFS('Tarefas'!$M$6:$M$132,'Tarefas'!$B$6:$B$132,A24)/SUMIFS('Tarefas'!$F$6:$F$132,'Tarefas'!$B$6:$B$132,A24)</x:f>
        <x:v>0</x:v>
      </x:c>
      <x:c r="D24" s="2"/>
      <x:c r="E24" s="2" t="str">
        <x:v>Ao incluir tarefas, ampliar tabela e fórmulas de resumo.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SUMIFS('Tarefas'!$M$6:$M$132,'Tarefas'!$B$6:$B$132,A25)/SUMIFS('Tarefas'!$F$6:$F$132,'Tarefas'!$B$6:$B$132,A25)</x:f>
        <x:v>0</x:v>
      </x:c>
      <x:c r="D25" s="2"/>
      <x:c r="E25" s="2" t="str">
        <x:v>Percentual geral inclui os levantamentos; software continua em 0%.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Atualização: fechamento vigente de 13/09/2026. Bling + três estruturas do Drive somente de leitura.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70 tarefas revisadas; 127 IDs preservados. Regra definida não equivale a implementação concluída.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Sem novas perguntas de negócio nesta revisão. Fontes reais e referências serão verificadas tecnicamente.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concluído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Não iniciada</x:v>
      </x:c>
      <x:c r="F6" s="18" t="n">
        <x:v>1</x:v>
      </x:c>
      <x:c r="G6" s="16" t="n">
        <x:f>IF(AND(E6="Concluída",H6&lt;&gt;""),1,0)</x:f>
        <x:v>0</x:v>
      </x:c>
      <x:c r="H6" s="12" t="str"/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F6*G6</x:f>
        <x:v>0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f>IF(AND(E7="Concluída",H7&lt;&gt;""),1,0)</x:f>
        <x:v>1</x:v>
      </x:c>
      <x:c r="H7" s="12" t="str">
        <x:v>MAJUCAU_ANALISE_E_DECISOES_v0.md — inventário e análise; inspeção dos materiais e GitHub nesta sessão. Evidência original preservada na versão 0; esta revisão não altera a conclusão desse levantamento.</x:v>
      </x:c>
      <x:c r="I7" s="11" t="str">
        <x:v>Produto + UX</x:v>
      </x:c>
      <x:c r="J7" s="11" t="str"/>
      <x:c r="K7" s="11" t="str"/>
      <x:c r="L7" s="11" t="str">
        <x:v>Pacote fornecido; manifesto de arquivos; Consolidação 13/09/2026, consolidação integral; Fechamento vigente 13/09/2026, integral</x:v>
      </x:c>
      <x:c r="M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f>IF(AND(E8="Concluída",H8&lt;&gt;""),1,0)</x:f>
        <x:v>1</x:v>
      </x:c>
      <x:c r="H8" s="12" t="str">
        <x:v>MAJUCAU_ANALISE_E_DECISOES_v0.md — inventário e análise; inspeção dos materiais e GitHub nesta sessão. Evidência original preservada na versão 0; esta revisão não altera a conclusão desse levantamento.</x:v>
      </x:c>
      <x:c r="I8" s="10" t="str">
        <x:v>Arquitetura</x:v>
      </x:c>
      <x:c r="J8" s="10" t="str"/>
      <x:c r="K8" s="10" t="str"/>
      <x:c r="L8" s="10" t="str">
        <x:v>GitHub majucau /contents e /commits</x:v>
      </x:c>
      <x:c r="M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f>IF(AND(E9="Concluída",H9&lt;&gt;""),1,0)</x:f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Não iniciada</x:v>
      </x:c>
      <x:c r="F10" s="18" t="n">
        <x:v>1</x:v>
      </x:c>
      <x:c r="G10" s="16" t="n">
        <x:f>IF(AND(E10="Concluída",H10&lt;&gt;""),1,0)</x:f>
        <x:v>0</x:v>
      </x:c>
      <x:c r="H10" s="12" t="str"/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A_Matriz_Mestra!A41:S41; 00_Resumo!A46:D46; menus das imagens; Fechamento vigente 13/09/2026, §5</x:v>
      </x:c>
      <x:c r="M10" s="10" t="n">
        <x:f>F10*G10</x:f>
        <x:v>0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Não iniciada</x:v>
      </x:c>
      <x:c r="F11" s="18" t="n">
        <x:v>1</x:v>
      </x:c>
      <x:c r="G11" s="17" t="n">
        <x:f>IF(AND(E11="Concluída",H11&lt;&gt;""),1,0)</x:f>
        <x:v>0</x:v>
      </x:c>
      <x:c r="H11" s="12" t="str"/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F11*G11</x:f>
        <x:v>0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Não iniciada</x:v>
      </x:c>
      <x:c r="F12" s="18" t="n">
        <x:v>1</x:v>
      </x:c>
      <x:c r="G12" s="16" t="n">
        <x:f>IF(AND(E12="Concluída",H12&lt;&gt;""),1,0)</x:f>
        <x:v>0</x:v>
      </x:c>
      <x:c r="H12" s="12" t="str"/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Consolidação 13/09/2026, §§6–9; Fechamento vigente 13/09/2026, §§1–2</x:v>
      </x:c>
      <x:c r="M12" s="10" t="n">
        <x:f>F12*G12</x:f>
        <x:v>0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 reprodução da DRE e do balancete do Bling</x:v>
      </x:c>
      <x:c r="D13" s="11" t="str">
        <x:v>Planejamento</x:v>
      </x:c>
      <x:c r="E13" s="12" t="str">
        <x:v>Não iniciada</x:v>
      </x:c>
      <x:c r="F13" s="18" t="n">
        <x:v>1</x:v>
      </x:c>
      <x:c r="G13" s="17" t="n">
        <x:f>IF(AND(E13="Concluída",H13&lt;&gt;""),1,0)</x:f>
        <x:v>0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F13*G13</x:f>
        <x:v>0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f>IF(AND(E14="Concluída",H14&lt;&gt;""),1,0)</x:f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f>IF(AND(E15="Concluída",H15&lt;&gt;""),1,0)</x:f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f>IF(AND(E16="Concluída",H16&lt;&gt;""),1,0)</x:f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f>IF(AND(E17="Concluída",H17&lt;&gt;""),1,0)</x:f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Não iniciada</x:v>
      </x:c>
      <x:c r="F18" s="18" t="n">
        <x:v>1</x:v>
      </x:c>
      <x:c r="G18" s="16" t="n">
        <x:f>IF(AND(E18="Concluída",H18&lt;&gt;""),1,0)</x:f>
        <x:v>0</x:v>
      </x:c>
      <x:c r="H18" s="12" t="str"/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F18*G18</x:f>
        <x:v>0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Não iniciada</x:v>
      </x:c>
      <x:c r="F19" s="18" t="n">
        <x:v>1</x:v>
      </x:c>
      <x:c r="G19" s="17" t="n">
        <x:f>IF(AND(E19="Concluída",H19&lt;&gt;""),1,0)</x:f>
        <x:v>0</x:v>
      </x:c>
      <x:c r="H19" s="12" t="str"/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F19*G19</x:f>
        <x:v>0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Não iniciada</x:v>
      </x:c>
      <x:c r="F20" s="18" t="n">
        <x:v>1</x:v>
      </x:c>
      <x:c r="G20" s="16" t="n">
        <x:f>IF(AND(E20="Concluída",H20&lt;&gt;""),1,0)</x:f>
        <x:v>0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F20*G20</x:f>
        <x:v>0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f>IF(AND(E21="Concluída",H21&lt;&gt;""),1,0)</x:f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f>IF(AND(E22="Concluída",H22&lt;&gt;""),1,0)</x:f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18" t="n">
        <x:v>1</x:v>
      </x:c>
      <x:c r="G23" s="17" t="n">
        <x:f>IF(AND(E23="Concluída",H23&lt;&gt;""),1,0)</x:f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f>IF(AND(E24="Concluída",H24&lt;&gt;""),1,0)</x:f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f>IF(AND(E25="Concluída",H25&lt;&gt;""),1,0)</x:f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f>IF(AND(E26="Concluída",H26&lt;&gt;""),1,0)</x:f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f>IF(AND(E27="Concluída",H27&lt;&gt;""),1,0)</x:f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f>IF(AND(E28="Concluída",H28&lt;&gt;""),1,0)</x:f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f>IF(AND(E29="Concluída",H29&lt;&gt;""),1,0)</x:f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Não iniciada</x:v>
      </x:c>
      <x:c r="F30" s="18" t="n">
        <x:v>1</x:v>
      </x:c>
      <x:c r="G30" s="16" t="n">
        <x:f>IF(AND(E30="Concluída",H30&lt;&gt;""),1,0)</x:f>
        <x:v>0</x:v>
      </x:c>
      <x:c r="H30" s="12" t="str"/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F30*G30</x:f>
        <x:v>0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Não iniciada</x:v>
      </x:c>
      <x:c r="F31" s="18" t="n">
        <x:v>1</x:v>
      </x:c>
      <x:c r="G31" s="17" t="n">
        <x:f>IF(AND(E31="Concluída",H31&lt;&gt;""),1,0)</x:f>
        <x:v>0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F31*G31</x:f>
        <x:v>0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18" t="n">
        <x:v>1</x:v>
      </x:c>
      <x:c r="G32" s="16" t="n">
        <x:f>IF(AND(E32="Concluída",H32&lt;&gt;""),1,0)</x:f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f>IF(AND(E33="Concluída",H33&lt;&gt;""),1,0)</x:f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f>IF(AND(E34="Concluída",H34&lt;&gt;""),1,0)</x:f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f>IF(AND(E35="Concluída",H35&lt;&gt;""),1,0)</x:f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Não iniciada</x:v>
      </x:c>
      <x:c r="F36" s="18" t="n">
        <x:v>1</x:v>
      </x:c>
      <x:c r="G36" s="16" t="n">
        <x:f>IF(AND(E36="Concluída",H36&lt;&gt;""),1,0)</x:f>
        <x:v>0</x:v>
      </x:c>
      <x:c r="H36" s="12" t="str"/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F36*G36</x:f>
        <x:v>0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Não iniciada</x:v>
      </x:c>
      <x:c r="F37" s="18" t="n">
        <x:v>1</x:v>
      </x:c>
      <x:c r="G37" s="17" t="n">
        <x:f>IF(AND(E37="Concluída",H37&lt;&gt;""),1,0)</x:f>
        <x:v>0</x:v>
      </x:c>
      <x:c r="H37" s="12" t="str"/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F37*G37</x:f>
        <x:v>0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f>IF(AND(E38="Concluída",H38&lt;&gt;""),1,0)</x:f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f>IF(AND(E39="Concluída",H39&lt;&gt;""),1,0)</x:f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f>IF(AND(E40="Concluída",H40&lt;&gt;""),1,0)</x:f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f>IF(AND(E41="Concluída",H41&lt;&gt;""),1,0)</x:f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f>IF(AND(E42="Concluída",H42&lt;&gt;""),1,0)</x:f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f>IF(AND(E43="Concluída",H43&lt;&gt;""),1,0)</x:f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f>IF(AND(E44="Concluída",H44&lt;&gt;""),1,0)</x:f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f>IF(AND(E45="Concluída",H45&lt;&gt;""),1,0)</x:f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f>IF(AND(E46="Concluída",H46&lt;&gt;""),1,0)</x:f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Não iniciada</x:v>
      </x:c>
      <x:c r="F47" s="18" t="n">
        <x:v>1</x:v>
      </x:c>
      <x:c r="G47" s="17" t="n">
        <x:f>IF(AND(E47="Concluída",H47&lt;&gt;""),1,0)</x:f>
        <x:v>0</x:v>
      </x:c>
      <x:c r="H47" s="12" t="str"/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F47*G47</x:f>
        <x:v>0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f>IF(AND(E48="Concluída",H48&lt;&gt;""),1,0)</x:f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f>IF(AND(E49="Concluída",H49&lt;&gt;""),1,0)</x:f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f>IF(AND(E50="Concluída",H50&lt;&gt;""),1,0)</x:f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f>IF(AND(E51="Concluída",H51&lt;&gt;""),1,0)</x:f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f>IF(AND(E52="Concluída",H52&lt;&gt;""),1,0)</x:f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f>IF(AND(E53="Concluída",H53&lt;&gt;""),1,0)</x:f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f>IF(AND(E54="Concluída",H54&lt;&gt;""),1,0)</x:f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f>IF(AND(E55="Concluída",H55&lt;&gt;""),1,0)</x:f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f>IF(AND(E56="Concluída",H56&lt;&gt;""),1,0)</x:f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f>IF(AND(E57="Concluída",H57&lt;&gt;""),1,0)</x:f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f>IF(AND(E58="Concluída",H58&lt;&gt;""),1,0)</x:f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f>IF(AND(E59="Concluída",H59&lt;&gt;""),1,0)</x:f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f>IF(AND(E60="Concluída",H60&lt;&gt;""),1,0)</x:f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f>IF(AND(E61="Concluída",H61&lt;&gt;""),1,0)</x:f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Não iniciada</x:v>
      </x:c>
      <x:c r="F62" s="18" t="n">
        <x:v>1</x:v>
      </x:c>
      <x:c r="G62" s="16" t="n">
        <x:f>IF(AND(E62="Concluída",H62&lt;&gt;""),1,0)</x:f>
        <x:v>0</x:v>
      </x:c>
      <x:c r="H62" s="12" t="str"/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F62*G62</x:f>
        <x:v>0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f>IF(AND(E63="Concluída",H63&lt;&gt;""),1,0)</x:f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f>IF(AND(E64="Concluída",H64&lt;&gt;""),1,0)</x:f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f>IF(AND(E65="Concluída",H65&lt;&gt;""),1,0)</x:f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f>IF(AND(E66="Concluída",H66&lt;&gt;""),1,0)</x:f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f>IF(AND(E67="Concluída",H67&lt;&gt;""),1,0)</x:f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f>IF(AND(E68="Concluída",H68&lt;&gt;""),1,0)</x:f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f>IF(AND(E69="Concluída",H69&lt;&gt;""),1,0)</x:f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f>IF(AND(E70="Concluída",H70&lt;&gt;""),1,0)</x:f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f>IF(AND(E71="Concluída",H71&lt;&gt;""),1,0)</x:f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Obter e reproduzir a DRE por competência do Bling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f>IF(AND(E72="Concluída",H72&lt;&gt;""),1,0)</x:f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Não iniciada</x:v>
      </x:c>
      <x:c r="F73" s="18" t="n">
        <x:v>1</x:v>
      </x:c>
      <x:c r="G73" s="17" t="n">
        <x:f>IF(AND(E73="Concluída",H73&lt;&gt;""),1,0)</x:f>
        <x:v>0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F73*G73</x:f>
        <x:v>0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f>IF(AND(E74="Concluída",H74&lt;&gt;""),1,0)</x:f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f>IF(AND(E75="Concluída",H75&lt;&gt;""),1,0)</x:f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f>IF(AND(E76="Concluída",H76&lt;&gt;""),1,0)</x:f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f>IF(AND(E77="Concluída",H77&lt;&gt;""),1,0)</x:f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f>IF(AND(E78="Concluída",H78&lt;&gt;""),1,0)</x:f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f>IF(AND(E79="Concluída",H79&lt;&gt;""),1,0)</x:f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f>IF(AND(E80="Concluída",H80&lt;&gt;""),1,0)</x:f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f>IF(AND(E81="Concluída",H81&lt;&gt;""),1,0)</x:f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f>IF(AND(E82="Concluída",H82&lt;&gt;""),1,0)</x:f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f>IF(AND(E83="Concluída",H83&lt;&gt;""),1,0)</x:f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f>IF(AND(E84="Concluída",H84&lt;&gt;""),1,0)</x:f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f>IF(AND(E85="Concluída",H85&lt;&gt;""),1,0)</x:f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f>IF(AND(E86="Concluída",H86&lt;&gt;""),1,0)</x:f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f>IF(AND(E87="Concluída",H87&lt;&gt;""),1,0)</x:f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f>IF(AND(E88="Concluída",H88&lt;&gt;""),1,0)</x:f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f>IF(AND(E89="Concluída",H89&lt;&gt;""),1,0)</x:f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f>IF(AND(E90="Concluída",H90&lt;&gt;""),1,0)</x:f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f>IF(AND(E91="Concluída",H91&lt;&gt;""),1,0)</x:f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e exportação de recomendações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f>IF(AND(E92="Concluída",H92&lt;&gt;""),1,0)</x:f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f>IF(AND(E93="Concluída",H93&lt;&gt;""),1,0)</x:f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f>IF(AND(E94="Concluída",H94&lt;&gt;""),1,0)</x:f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f>IF(AND(E95="Concluída",H95&lt;&gt;""),1,0)</x:f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f>IF(AND(E96="Concluída",H96&lt;&gt;""),1,0)</x:f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f>IF(AND(E97="Concluída",H97&lt;&gt;""),1,0)</x:f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f>IF(AND(E98="Concluída",H98&lt;&gt;""),1,0)</x:f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f>IF(AND(E99="Concluída",H99&lt;&gt;""),1,0)</x:f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f>IF(AND(E100="Concluída",H100&lt;&gt;""),1,0)</x:f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f>IF(AND(E101="Concluída",H101&lt;&gt;""),1,0)</x:f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f>IF(AND(E102="Concluída",H102&lt;&gt;""),1,0)</x:f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f>IF(AND(E103="Concluída",H103&lt;&gt;""),1,0)</x:f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f>IF(AND(E104="Concluída",H104&lt;&gt;""),1,0)</x:f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f>IF(AND(E105="Concluída",H105&lt;&gt;""),1,0)</x:f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f>IF(AND(E106="Concluída",H106&lt;&gt;""),1,0)</x:f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f>IF(AND(E107="Concluída",H107&lt;&gt;""),1,0)</x:f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18" t="n">
        <x:v>1</x:v>
      </x:c>
      <x:c r="G108" s="16" t="n">
        <x:f>IF(AND(E108="Concluída",H108&lt;&gt;""),1,0)</x:f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f>IF(AND(E109="Concluída",H109&lt;&gt;""),1,0)</x:f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f>IF(AND(E110="Concluída",H110&lt;&gt;""),1,0)</x:f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f>IF(AND(E111="Concluída",H111&lt;&gt;""),1,0)</x:f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f>IF(AND(E112="Concluída",H112&lt;&gt;""),1,0)</x:f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f>IF(AND(E113="Concluída",H113&lt;&gt;""),1,0)</x:f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f>IF(AND(E114="Concluída",H114&lt;&gt;""),1,0)</x:f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f>IF(AND(E115="Concluída",H115&lt;&gt;""),1,0)</x:f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f>IF(AND(E116="Concluída",H116&lt;&gt;""),1,0)</x:f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f>IF(AND(E117="Concluída",H117&lt;&gt;""),1,0)</x:f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f>IF(AND(E118="Concluída",H118&lt;&gt;""),1,0)</x:f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f>IF(AND(E119="Concluída",H119&lt;&gt;""),1,0)</x:f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f>IF(AND(E120="Concluída",H120&lt;&gt;""),1,0)</x:f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f>IF(AND(E121="Concluída",H121&lt;&gt;""),1,0)</x:f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f>IF(AND(E122="Concluída",H122&lt;&gt;""),1,0)</x:f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f>IF(AND(E123="Concluída",H123&lt;&gt;""),1,0)</x:f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f>IF(AND(E124="Concluída",H124&lt;&gt;""),1,0)</x:f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f>IF(AND(E125="Concluída",H125&lt;&gt;""),1,0)</x:f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f>IF(AND(E126="Concluída",H126&lt;&gt;""),1,0)</x:f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f>IF(AND(E127="Concluída",H127&lt;&gt;""),1,0)</x:f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f>IF(AND(E128="Concluída",H128&lt;&gt;""),1,0)</x:f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f>IF(AND(E129="Concluída",H129&lt;&gt;""),1,0)</x:f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f>IF(AND(E130="Concluída",H130&lt;&gt;""),1,0)</x:f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f>IF(AND(E131="Concluída",H131&lt;&gt;""),1,0)</x:f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f>IF(AND(E132="Concluída",H132&lt;&gt;""),1,0)</x:f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F132*G132</x:f>
        <x:v>0</x:v>
      </x:c>
    </x:row>
  </x:sheetData>
  <x:conditionalFormatting sqref="E6:H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059819fc40e4cc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JavaScript com React.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Marcar divergência e manter o título sem baixa até a análise. Casos complementares serão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Origem atual do resultado é a DRE por competência do Bling, apresentada no Majucau. A interpretação anterior de uma DRE calculada/classificada independentemente foi superada.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mantêm fonte própria; efeito financeiro e competência seguem os fatos registrados/classificados no Bling. Não criar ou deslocar linhas da DRE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taxas e rendimentos respeitam conta/classificação e competência existentes no Bling. Mapear tecnicamente, sem nova classificação de negócio.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Apropriação Bling tem preferência; custos bruto/variável/fixo/critério/final separados. Não duplicar tarifa nem fabricar rateio sem dados.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DRE usa origem Bling; sem nova estrutura ou fonte contábil paralela. Exceções externas têm função própria e não completam linhas ausentes com hipóteses.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cobrado/custo/subsídio separados nos dados específicos; efeito na DRE respeita classificação/competência Bling, sem nova reclassificação.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fato financeiro registrado e DRE respeita a origem.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previstas/aprovadas permanecem; implementar contrato técnico com mesmos dados/filtros e Excel quando especificado, sem perguntar novamente se a função entra.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DRE por competência e balancete do projeto utilizam Bling e suas classificações. Validar totais tecnicamente; não solicitar estrutura contábil paralela.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Consolidar fórmulas M-030/M-034 preservadas pelo fechamento, usando fonte DRE Bling e aportes líquidos de resgates; limite executável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Botões e navegação seguem referência aprovada; contrato de execução e exportação é detalhamento técnico, sem redesenhar ou retirar função existente.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Usuário, perfil e capacidade com menor privilégio; atribuição concreta é configuração administrativa explícita na implantação, sem hardcode por pessoa.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Extração e conferência da DRE Bling</x:v>
      </x:c>
      <x:c r="C89" s="12" t="str">
        <x:v>Execução técnica pendente</x:v>
      </x:c>
      <x:c r="D89" s="11" t="str">
        <x:v>Mapear recursos/campos e correspondência técnica de linhas da DRE por competência; preservar classificação e validar totais contra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Regra fechada: disponibilidade consolidada alimenta a calculadora. Contrato preserva jan..M−2, principal líquido e fórmulas consolidadas; DRE apresentada no Majucau agora reproduz o Bling. Cartão/MDR/parcelas não pertencem à calculadora.</x:v>
      </x:c>
      <x:c r="G94" s="10" t="str">
        <x:v>Fechamento das questões ainda tratadas como abertas — 13/09/2026; §1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por competência do Bling</x:v>
      </x:c>
      <x:c r="C95" s="12" t="str">
        <x:v>Definida</x:v>
      </x:c>
      <x:c r="D95" s="11" t="str">
        <x:v>Definição recebida no fechamento vigente.</x:v>
      </x:c>
      <x:c r="E95" s="11" t="str">
        <x:v>Aplicar nas tarefas vinculadas e verificar com evidência na implementação futura.</x:v>
      </x:c>
      <x:c r="F95" s="12" t="str">
        <x:v>Fonte primária: DRE por competência do Bling. Preservar classificação, contas e competência; não criar estrutura financeira/gerencial paralela ou fatos fictícios. Validar contra o próprio Bling.</x:v>
      </x:c>
      <x:c r="G95" s="11" t="str">
        <x:v>Fechamento das questões ainda tratadas como abertas — 13/09/2026; §2</x:v>
      </x:c>
      <x:c r="H95" s="11" t="str">
        <x:v>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exportações aprovadas, inclusive Excel onde especificado. Arquivo usa os mesmos dados, filtros, período, snapshot e métricas da tela.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4f7be7cf22409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793950ba41d241b3"/>
  </x:tableParts>
</x:worksheet>
</file>