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f6d4d53a8c43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f153bb70f24a486d"/>
    <x:sheet xmlns:r="http://schemas.openxmlformats.org/officeDocument/2006/relationships" name="Tarefas" sheetId="2" r:id="R51b9d8a25c8044fd"/>
    <x:sheet xmlns:r="http://schemas.openxmlformats.org/officeDocument/2006/relationships" name="Decisoes" sheetId="3" r:id="Re57625f93b7e4bf3"/>
    <x:sheet xmlns:r="http://schemas.openxmlformats.org/officeDocument/2006/relationships" name="Cobertura" sheetId="4" r:id="R2f301720f45847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33fc3eca224e28" /><Relationship Type="http://schemas.openxmlformats.org/officeDocument/2006/relationships/theme" Target="/xl/theme/theme1.xml" Id="Rebd95e8ca75c40ff" /><Relationship Type="http://schemas.openxmlformats.org/officeDocument/2006/relationships/sharedStrings" Target="/xl/sharedStrings.xml" Id="R83a1a3175c344f8f" /><Relationship Type="http://schemas.openxmlformats.org/officeDocument/2006/relationships/worksheet" Target="/xl/worksheets/sheet1.xml" Id="Rf153bb70f24a486d" /><Relationship Type="http://schemas.openxmlformats.org/officeDocument/2006/relationships/worksheet" Target="/xl/worksheets/sheet2.xml" Id="R51b9d8a25c8044fd" /><Relationship Type="http://schemas.openxmlformats.org/officeDocument/2006/relationships/worksheet" Target="/xl/worksheets/sheet3.xml" Id="Re57625f93b7e4bf3" /><Relationship Type="http://schemas.openxmlformats.org/officeDocument/2006/relationships/worksheet" Target="/xl/worksheets/sheet4.xml" Id="R2f301720f458479e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02a8fac7dfc4ac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86f67443ca948a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ae80c7e809446ab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11/10/2026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0.08346456692913386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0.43125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0.03888888888888889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0.35714285714285715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0.04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0.014285714285714287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11/10/2026: 7 concluídas, 11 em andamento e 109 não iniciadas. Estimativa: 8,3%; restante: 91,7%.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Concluído: pacote original preservado e conferido. Pendências sobre conteúdo/regras permanecem nas tarefas técnicas correspondentes.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0.1</x:v>
      </x:c>
      <x:c r="H18" s="12" t="str"/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0.1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0.15</x:v>
      </x:c>
      <x:c r="H19" s="12" t="str"/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0.15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18" t="n">
        <x:v>1</x:v>
      </x:c>
      <x:c r="G22" s="16" t="n"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IF(AND(E22="Concluída",H22&lt;&gt;""),F22,0)</x:f>
        <x:v>0</x:v>
      </x:c>
      <x:c r="N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18" t="n">
        <x:v>1</x:v>
      </x:c>
      <x:c r="G23" s="17" t="n"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Não iniciada</x:v>
      </x:c>
      <x:c r="F32" s="18" t="n">
        <x:v>1</x:v>
      </x:c>
      <x:c r="G32" s="16" t="n">
        <x:v>0</x:v>
      </x:c>
      <x:c r="H32" s="12" t="str"/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</x:v>
      </x:c>
      <x:c r="H37" s="12" t="str"/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0.6</x:v>
      </x:c>
      <x:c r="H47" s="12" t="str">
        <x:v>60% — filtros de situação por rota e falha segura quando a última página é desconhecida; evidência em docs/evidence/BLING-PAGINATION-CONTRACT-2026-10-11.md. Resposta e cursor da conta real seguem sem homologação.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0.6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IF(AND(E73="Concluída",H73&lt;&gt;""),F73,0)</x:f>
        <x:v>0</x:v>
      </x:c>
      <x:c r="N73" s="11" t="n">
        <x:f>F73*G73</x:f>
        <x:v>0.2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18" t="n">
        <x:v>1</x:v>
      </x:c>
      <x:c r="G108" s="16" t="n"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02a8fac7dfc4ac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6f67443ca948a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5ae80c7e809446ab"/>
  </x:tableParts>
</x:worksheet>
</file>