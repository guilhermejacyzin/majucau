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8bcdf8d38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olucao" sheetId="1" r:id="Rfbee9ac8a2af4115"/>
    <x:sheet xmlns:r="http://schemas.openxmlformats.org/officeDocument/2006/relationships" name="Tarefas" sheetId="2" r:id="Rbeab9ed6d5ae4f3b"/>
    <x:sheet xmlns:r="http://schemas.openxmlformats.org/officeDocument/2006/relationships" name="Decisoes" sheetId="3" r:id="R9804101985bf416e"/>
    <x:sheet xmlns:r="http://schemas.openxmlformats.org/officeDocument/2006/relationships" name="Cobertura" sheetId="4" r:id="Rffe7f9ba6d96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0.0%"/>
  </x:numFmts>
  <x:fonts count="7">
    <x:font>
      <x:sz val="11"/>
      <x:name val="Carlito"/>
    </x:font>
    <x:font>
      <x:sz val="10"/>
      <x:color rgb="FF173445"/>
      <x:name val="Arial"/>
    </x:font>
    <x:font>
      <x:b/>
      <x:sz val="16"/>
      <x:color rgb="FF0B3346"/>
      <x:name val="Arial"/>
    </x:font>
    <x:font>
      <x:i/>
      <x:sz val="10"/>
      <x:color rgb="FF566C7A"/>
      <x:name val="Arial"/>
    </x:font>
    <x:font>
      <x:b/>
      <x:sz val="10"/>
      <x:color rgb="FFFFFFFF"/>
      <x:name val="Arial"/>
    </x:font>
    <x:font>
      <x:b/>
      <x:sz val="14"/>
      <x:color rgb="FF087E87"/>
      <x:name val="Arial"/>
    </x:font>
    <x:font>
      <x:b/>
      <x:sz val="10"/>
      <x:color rgb="FF0B33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3346"/>
      </x:patternFill>
    </x:fill>
    <x:fill>
      <x:patternFill patternType="solid">
        <x:fgColor rgb="FFF0F5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12622"/>
      </x:font>
      <x:fill>
        <x:patternFill>
          <x:bgColor rgb="FFFDE4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dde6e7036465c" /><Relationship Type="http://schemas.openxmlformats.org/officeDocument/2006/relationships/theme" Target="/xl/theme/theme1.xml" Id="R875162a5070f4c98" /><Relationship Type="http://schemas.openxmlformats.org/officeDocument/2006/relationships/sharedStrings" Target="/xl/sharedStrings.xml" Id="R11f1fb84e77d4e1f" /><Relationship Type="http://schemas.openxmlformats.org/officeDocument/2006/relationships/worksheet" Target="/xl/worksheets/sheet1.xml" Id="Rfbee9ac8a2af4115" /><Relationship Type="http://schemas.openxmlformats.org/officeDocument/2006/relationships/worksheet" Target="/xl/worksheets/sheet2.xml" Id="Rbeab9ed6d5ae4f3b" /><Relationship Type="http://schemas.openxmlformats.org/officeDocument/2006/relationships/worksheet" Target="/xl/worksheets/sheet3.xml" Id="R9804101985bf416e" /><Relationship Type="http://schemas.openxmlformats.org/officeDocument/2006/relationships/worksheet" Target="/xl/worksheets/sheet4.xml" Id="Rffe7f9ba6d964fef" /></Relationships>
</file>

<file path=xl/tables/table1.xml><?xml version="1.0" encoding="utf-8"?>
<x:table xmlns:x="http://schemas.openxmlformats.org/spreadsheetml/2006/main" id="1" name="MajucauTarefas" displayName="MajucauTarefas" ref="A5:N132" headerRowCount="1" totalsRowCount="0" totalsRowShown="0">
  <x:tableColumns count="14">
    <x:tableColumn id="1" name="ID"/>
    <x:tableColumn id="2" name="Fase"/>
    <x:tableColumn id="3" name="Tarefa"/>
    <x:tableColumn id="4" name="Natureza"/>
    <x:tableColumn id="5" name="Situação"/>
    <x:tableColumn id="6" name="Peso"/>
    <x:tableColumn id="7" name="Evolução estimada"/>
    <x:tableColumn id="8" name="Evidência de aceite"/>
    <x:tableColumn id="9" name="Responsável sugerido"/>
    <x:tableColumn id="10" name="Dependências"/>
    <x:tableColumn id="11" name="Decisões a acompanhar"/>
    <x:tableColumn id="12" name="Referências"/>
    <x:tableColumn id="13" name="Peso com aceite"/>
    <x:tableColumn id="14" name="Peso da evolu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jucauDecisoes" displayName="MajucauDecisoes" ref="A5:I113" headerRowCount="1" totalsRowCount="0" totalsRowShown="0">
  <x:tableColumns count="9">
    <x:tableColumn id="1" name="ID"/>
    <x:tableColumn id="2" name="Tema"/>
    <x:tableColumn id="3" name="Situação"/>
    <x:tableColumn id="4" name="Definição / verificação necessária"/>
    <x:tableColumn id="5" name="Impacto"/>
    <x:tableColumn id="6" name="Resposta registrada"/>
    <x:tableColumn id="7" name="Fonte"/>
    <x:tableColumn id="8" name="Tarefas"/>
    <x:tableColumn id="9" name="Naturez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jucauCobertura" displayName="MajucauCobertura" ref="A5:E26" headerRowCount="1" totalsRowCount="0" totalsRowShown="0">
  <x:tableColumns count="5">
    <x:tableColumn id="1" name="Identificação"/>
    <x:tableColumn id="2" name="Módulo"/>
    <x:tableColumn id="3" name="Material disponível"/>
    <x:tableColumn id="4" name="Referência"/>
    <x:tableColumn id="5" name="Tarefa de interf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fa190a840b49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09852b583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04beebe2ab4a89" /></Relationships>
</file>

<file path=xl/worksheets/sheet1.xml><?xml version="1.0" encoding="utf-8"?>
<x:worksheet xmlns:x="http://schemas.openxmlformats.org/spreadsheetml/2006/main">
  <x:sheetPr>
    <x:tabColor rgb="FF0B3346"/>
  </x:sheetPr>
  <x:sheetViews>
    <x:sheetView showGridLines="0" workbookViewId="0"/>
  </x:sheetViews>
  <x:sheetFormatPr defaultRowHeight="15"/>
  <x:cols>
    <x:col min="1" max="1" width="36.880001068115234" hidden="0" customWidth="1"/>
    <x:col min="2" max="2" width="15.630000114440918" hidden="0" customWidth="1"/>
    <x:col min="3" max="3" width="21.25" hidden="0" customWidth="1"/>
    <x:col min="4" max="4" width="3.5" hidden="0" customWidth="1"/>
    <x:col min="5" max="5" width="42.5" hidden="0" customWidth="1"/>
    <x:col min="6" max="6" width="37.5" hidden="0" customWidth="1"/>
    <x:col min="7" max="7" width="18.7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Majucau — evolução do backlog</x:v>
      </x:c>
      <x:c r="B2" s="2"/>
      <x:c r="C2" s="2"/>
      <x:c r="D2" s="2"/>
      <x:c r="E2" s="2"/>
      <x:c r="F2" s="2"/>
      <x:c r="G2" s="2"/>
    </x:row>
    <x:row r="3" ht="28" customHeight="1">
      <x:c r="A3" s="4" t="str">
        <x:v>Status atualizado em 11/10/2026 | fechamento funcional de 13/09/2026</x:v>
      </x:c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Medida</x:v>
      </x:c>
      <x:c r="B5" s="8" t="str">
        <x:v>Valor</x:v>
      </x:c>
      <x:c r="C5" s="8" t="str">
        <x:v>Interpretação</x:v>
      </x:c>
      <x:c r="D5" s="2"/>
      <x:c r="E5" s="8" t="str">
        <x:v>Decisões já recebidas</x:v>
      </x:c>
      <x:c r="F5" s="8" t="str"/>
      <x:c r="G5" s="8" t="str"/>
    </x:row>
    <x:row r="6" ht="30" customHeight="1">
      <x:c r="A6" s="2" t="str">
        <x:v>Tarefas no catálogo</x:v>
      </x:c>
      <x:c r="B6" s="22" t="n">
        <x:v>127</x:v>
      </x:c>
      <x:c r="C6" s="11" t="str">
        <x:v>Escopo provisório</x:v>
      </x:c>
      <x:c r="D6" s="2"/>
      <x:c r="E6" s="2" t="str">
        <x:v>Empresa</x:v>
      </x:c>
      <x:c r="F6" s="2" t="str">
        <x:v>Somente Majucau</x:v>
      </x:c>
      <x:c r="G6" s="2"/>
    </x:row>
    <x:row r="7" ht="30" customHeight="1">
      <x:c r="A7" s="2" t="str">
        <x:v>Levantamentos concluídos</x:v>
      </x:c>
      <x:c r="B7" s="22" t="n">
        <x:f>SUMIFS('Tarefas'!$M$6:$M$132,'Tarefas'!$D$6:$D$132,"Planejamento")</x:f>
        <x:v>6</x:v>
      </x:c>
      <x:c r="C7" s="11" t="str">
        <x:v>Com evidência de aceite</x:v>
      </x:c>
      <x:c r="D7" s="2"/>
      <x:c r="E7" s="2" t="str">
        <x:v>Usuários</x:v>
      </x:c>
      <x:c r="F7" s="2" t="str">
        <x:v>3 diretores</x:v>
      </x:c>
      <x:c r="G7" s="2"/>
    </x:row>
    <x:row r="8" ht="30" customHeight="1">
      <x:c r="A8" s="2" t="str">
        <x:v>Evolução estimada por peso</x:v>
      </x:c>
      <x:c r="B8" s="23" t="n">
        <x:f>SUM('Tarefas'!$N$6:$N$132)/SUM('Tarefas'!$F$6:$F$132)</x:f>
        <x:v>0.08464566929133858</x:v>
      </x:c>
      <x:c r="C8" s="11" t="str">
        <x:v>Estimativa; não é prontidão</x:v>
      </x:c>
      <x:c r="D8" s="2"/>
      <x:c r="E8" s="2" t="str">
        <x:v>Hospedagem</x:v>
      </x:c>
      <x:c r="F8" s="2" t="str">
        <x:v>Atual local; destino privado centralizado</x:v>
      </x:c>
      <x:c r="G8" s="2"/>
    </x:row>
    <x:row r="9" ht="30" customHeight="1">
      <x:c r="A9" s="2" t="str">
        <x:v>Desenvolvimento aceito</x:v>
      </x:c>
      <x:c r="B9" s="23" t="n">
        <x:f>SUMIFS('Tarefas'!$M$6:$M$132,'Tarefas'!$D$6:$D$132,"Desenvolvimento")/SUMIFS('Tarefas'!$F$6:$F$132,'Tarefas'!$D$6:$D$132,"Desenvolvimento")</x:f>
        <x:v>0.01020408163265306</x:v>
      </x:c>
      <x:c r="C9" s="11" t="str">
        <x:v>Somente concluído com evidência</x:v>
      </x:c>
      <x:c r="D9" s="2"/>
      <x:c r="E9" s="2" t="str">
        <x:v>Primeira produção</x:v>
      </x:c>
      <x:c r="F9" s="2" t="str">
        <x:v>Todos os módulos confirmados</x:v>
      </x:c>
      <x:c r="G9" s="2"/>
    </x:row>
    <x:row r="10" ht="30" customHeight="1">
      <x:c r="A10" s="2" t="str">
        <x:v>Frentes técnicas</x:v>
      </x:c>
      <x:c r="B10" s="22" t="n">
        <x:f>COUNTIFS('Decisoes'!$I$6:$I$113,"Homologação técnica")</x:f>
        <x:v>10</x:v>
      </x:c>
      <x:c r="C10" s="11" t="str">
        <x:v>HT: execução futura</x:v>
      </x:c>
      <x:c r="D10" s="2"/>
      <x:c r="E10" s="2" t="str">
        <x:v>Pagamento diferente</x:v>
      </x:c>
      <x:c r="F10" s="2" t="str">
        <x:v>Divergência, sem baixa</x:v>
      </x:c>
      <x:c r="G10" s="2"/>
    </x:row>
    <x:row r="11" ht="30" customHeight="1">
      <x:c r="A11" s="2" t="str">
        <x:v>Tarefas aceitas com evidência</x:v>
      </x:c>
      <x:c r="B11" s="22" t="n">
        <x:f>COUNTIFS('Tarefas'!$E$6:$E$132,"Concluída",'Tarefas'!$H$6:$H$132,"&lt;&gt;")</x:f>
        <x:v>7</x:v>
      </x:c>
      <x:c r="C11" s="11" t="str">
        <x:v>Contagem de entregas concluídas</x:v>
      </x:c>
      <x:c r="D11" s="2"/>
      <x:c r="E11" s="2" t="str">
        <x:v>Caixa da aplicação</x:v>
      </x:c>
      <x:c r="F11" s="2" t="str">
        <x:v>Seguir estrutura enviada; fluxo consolidado D0–D+60</x:v>
      </x:c>
      <x:c r="G11" s="2"/>
    </x:row>
    <x:row r="12" ht="30" customHeight="1">
      <x:c r="A12" s="24" t="str">
        <x:v>Avanço por fase</x:v>
      </x:c>
      <x:c r="B12" s="2"/>
      <x:c r="C12" s="2"/>
      <x:c r="D12" s="2"/>
      <x:c r="E12" s="2" t="str">
        <x:v>DRE</x:v>
      </x:c>
      <x:c r="F12" s="2" t="str">
        <x:v>Calculada pelo Majucau; Bling para comparação</x:v>
      </x:c>
      <x:c r="G12" s="2"/>
    </x:row>
    <x:row r="13" ht="30" customHeight="1">
      <x:c r="A13" s="8" t="str">
        <x:v>Fase</x:v>
      </x:c>
      <x:c r="B13" s="8" t="str">
        <x:v>Tarefas</x:v>
      </x:c>
      <x:c r="C13" s="8" t="str">
        <x:v>Evolução estimada</x:v>
      </x:c>
      <x:c r="D13" s="2"/>
      <x:c r="E13" s="2" t="str">
        <x:v>Cards EBIT/EBITDA</x:v>
      </x:c>
      <x:c r="F13" s="2" t="str">
        <x:v>No espaço aprovado no lugar de UNMAPPED</x:v>
      </x:c>
      <x:c r="G13" s="2"/>
    </x:row>
    <x:row r="14" ht="30" customHeight="1">
      <x:c r="A14" s="9" t="str">
        <x:v>00 Descoberta e decisões</x:v>
      </x:c>
      <x:c r="B14" s="9" t="n">
        <x:f>COUNTIFS('Tarefas'!$B$6:$B$132,A14)</x:f>
        <x:v>16</x:v>
      </x:c>
      <x:c r="C14" s="26" t="n">
        <x:f>SUMIFS('Tarefas'!$N$6:$N$132,'Tarefas'!$B$6:$B$132,A14)/SUMIFS('Tarefas'!$F$6:$F$132,'Tarefas'!$B$6:$B$132,A14)</x:f>
        <x:v>0.43437500000000007</x:v>
      </x:c>
      <x:c r="D14" s="2"/>
      <x:c r="E14" s="2" t="str">
        <x:v>Cards CAPEX</x:v>
      </x:c>
      <x:c r="F14" s="2" t="str">
        <x:v>Pago no mês e acumulado; fora do lucro</x:v>
      </x:c>
      <x:c r="G14" s="2"/>
    </x:row>
    <x:row r="15" ht="30" customHeight="1">
      <x:c r="A15" s="2" t="str">
        <x:v>01 Arquitetura e UX</x:v>
      </x:c>
      <x:c r="B15" s="2" t="n">
        <x:f>COUNTIFS('Tarefas'!$B$6:$B$132,A15)</x:f>
        <x:v>9</x:v>
      </x:c>
      <x:c r="C15" s="25" t="n">
        <x:f>SUMIFS('Tarefas'!$N$6:$N$132,'Tarefas'!$B$6:$B$132,A15)/SUMIFS('Tarefas'!$F$6:$F$132,'Tarefas'!$B$6:$B$132,A15)</x:f>
        <x:v>0.03888888888888889</x:v>
      </x:c>
      <x:c r="D15" s="2"/>
      <x:c r="E15" s="2" t="str">
        <x:v>Balanço Patrimonial</x:v>
      </x:c>
      <x:c r="F15" s="2" t="str">
        <x:v>Fora do escopo</x:v>
      </x:c>
      <x:c r="G15" s="2"/>
    </x:row>
    <x:row r="16" ht="30" customHeight="1">
      <x:c r="A16" s="9" t="str">
        <x:v>02 Fundação do projeto</x:v>
      </x:c>
      <x:c r="B16" s="9" t="n">
        <x:f>COUNTIFS('Tarefas'!$B$6:$B$132,A16)</x:f>
        <x:v>7</x:v>
      </x:c>
      <x:c r="C16" s="26" t="n">
        <x:f>SUMIFS('Tarefas'!$N$6:$N$132,'Tarefas'!$B$6:$B$132,A16)/SUMIFS('Tarefas'!$F$6:$F$132,'Tarefas'!$B$6:$B$132,A16)</x:f>
        <x:v>0.36428571428571427</x:v>
      </x:c>
      <x:c r="D16" s="2"/>
      <x:c r="E16" s="2" t="str">
        <x:v>Referências</x:v>
      </x:c>
      <x:c r="F16" s="2" t="str">
        <x:v>Última versão aprovada</x:v>
      </x:c>
      <x:c r="G16" s="2"/>
    </x:row>
    <x:row r="17" ht="30" customHeight="1">
      <x:c r="A17" s="2" t="str">
        <x:v>03 Identidade e configurações</x:v>
      </x:c>
      <x:c r="B17" s="2" t="n">
        <x:f>COUNTIFS('Tarefas'!$B$6:$B$132,A17)</x:f>
        <x:v>6</x:v>
      </x:c>
      <x:c r="C17" s="25" t="n">
        <x:f>SUMIFS('Tarefas'!$N$6:$N$132,'Tarefas'!$B$6:$B$132,A17)/SUMIFS('Tarefas'!$F$6:$F$132,'Tarefas'!$B$6:$B$132,A17)</x:f>
        <x:v>0</x:v>
      </x:c>
      <x:c r="D17" s="2"/>
      <x:c r="E17" s="24" t="str">
        <x:v>Como atualizar</x:v>
      </x:c>
      <x:c r="F17" s="2"/>
      <x:c r="G17" s="2"/>
    </x:row>
    <x:row r="18" ht="29" customHeight="1">
      <x:c r="A18" s="9" t="str">
        <x:v>04 Dados e integrações</x:v>
      </x:c>
      <x:c r="B18" s="9" t="n">
        <x:f>COUNTIFS('Tarefas'!$B$6:$B$132,A18)</x:f>
        <x:v>15</x:v>
      </x:c>
      <x:c r="C18" s="26" t="n">
        <x:f>SUMIFS('Tarefas'!$N$6:$N$132,'Tarefas'!$B$6:$B$132,A18)/SUMIFS('Tarefas'!$F$6:$F$132,'Tarefas'!$B$6:$B$132,A18)</x:f>
        <x:v>0.043333333333333335</x:v>
      </x:c>
      <x:c r="D18" s="2"/>
      <x:c r="E18" s="2" t="str">
        <x:v>Na aba Tarefas, atualize Situação, Evolução estimada e Evidência.</x:v>
      </x:c>
      <x:c r="F18" s="2"/>
      <x:c r="G18" s="2"/>
    </x:row>
    <x:row r="19" ht="29" customHeight="1">
      <x:c r="A19" s="2" t="str">
        <x:v>05 Tesouraria e conciliação</x:v>
      </x:c>
      <x:c r="B19" s="2" t="n">
        <x:f>COUNTIFS('Tarefas'!$B$6:$B$132,A19)</x:f>
        <x:v>10</x:v>
      </x:c>
      <x:c r="C19" s="25" t="n">
        <x:f>SUMIFS('Tarefas'!$N$6:$N$132,'Tarefas'!$B$6:$B$132,A19)/SUMIFS('Tarefas'!$F$6:$F$132,'Tarefas'!$B$6:$B$132,A19)</x:f>
        <x:v>0.005</x:v>
      </x:c>
      <x:c r="D19" s="2"/>
      <x:c r="E19" s="2" t="str">
        <x:v>Concluída com evidência conta como aceite comprovado.</x:v>
      </x:c>
      <x:c r="F19" s="2"/>
      <x:c r="G19" s="2"/>
    </x:row>
    <x:row r="20" ht="29" customHeight="1">
      <x:c r="A20" s="9" t="str">
        <x:v>06 Resultados, perdas e aplicações</x:v>
      </x:c>
      <x:c r="B20" s="9" t="n">
        <x:f>COUNTIFS('Tarefas'!$B$6:$B$132,A20)</x:f>
        <x:v>14</x:v>
      </x:c>
      <x:c r="C20" s="26" t="n">
        <x:f>SUMIFS('Tarefas'!$N$6:$N$132,'Tarefas'!$B$6:$B$132,A20)/SUMIFS('Tarefas'!$F$6:$F$132,'Tarefas'!$B$6:$B$132,A20)</x:f>
        <x:v>0.014285714285714287</x:v>
      </x:c>
      <x:c r="D20" s="2"/>
      <x:c r="E20" s="2" t="str">
        <x:v>A evolução estimada aparece antes do aceite final.</x:v>
      </x:c>
      <x:c r="F20" s="2"/>
      <x:c r="G20" s="2"/>
    </x:row>
    <x:row r="21" ht="29" customHeight="1">
      <x:c r="A21" s="2" t="str">
        <x:v>07 Estoque, produção e compras</x:v>
      </x:c>
      <x:c r="B21" s="2" t="n">
        <x:f>COUNTIFS('Tarefas'!$B$6:$B$132,A21)</x:f>
        <x:v>10</x:v>
      </x:c>
      <x:c r="C21" s="25" t="n">
        <x:f>SUMIFS('Tarefas'!$N$6:$N$132,'Tarefas'!$B$6:$B$132,A21)/SUMIFS('Tarefas'!$F$6:$F$132,'Tarefas'!$B$6:$B$132,A21)</x:f>
        <x:v>0</x:v>
      </x:c>
      <x:c r="D21" s="2"/>
      <x:c r="E21" s="2" t="str">
        <x:v>A média global é estimativa do backlog; não é prontidão para produção.</x:v>
      </x:c>
      <x:c r="F21" s="2"/>
      <x:c r="G21" s="2"/>
    </x:row>
    <x:row r="22" ht="29" customHeight="1">
      <x:c r="A22" s="9" t="str">
        <x:v>08 Projeções e cenários</x:v>
      </x:c>
      <x:c r="B22" s="9" t="n">
        <x:f>COUNTIFS('Tarefas'!$B$6:$B$132,A22)</x:f>
        <x:v>11</x:v>
      </x:c>
      <x:c r="C22" s="26" t="n">
        <x:f>SUMIFS('Tarefas'!$N$6:$N$132,'Tarefas'!$B$6:$B$132,A22)/SUMIFS('Tarefas'!$F$6:$F$132,'Tarefas'!$B$6:$B$132,A22)</x:f>
        <x:v>0</x:v>
      </x:c>
      <x:c r="D22" s="2"/>
      <x:c r="E22" s="2" t="str">
        <x:v>Peso inicial 1 mede quantidade, sem estimativa de esforço.</x:v>
      </x:c>
      <x:c r="F22" s="2"/>
      <x:c r="G22" s="2"/>
    </x:row>
    <x:row r="23" ht="29" customHeight="1">
      <x:c r="A23" s="2" t="str">
        <x:v>09 Controle e visão executiva</x:v>
      </x:c>
      <x:c r="B23" s="2" t="n">
        <x:f>COUNTIFS('Tarefas'!$B$6:$B$132,A23)</x:f>
        <x:v>6</x:v>
      </x:c>
      <x:c r="C23" s="25" t="n">
        <x:f>SUMIFS('Tarefas'!$N$6:$N$132,'Tarefas'!$B$6:$B$132,A23)/SUMIFS('Tarefas'!$F$6:$F$132,'Tarefas'!$B$6:$B$132,A23)</x:f>
        <x:v>0</x:v>
      </x:c>
      <x:c r="D23" s="2"/>
      <x:c r="E23" s="2" t="str">
        <x:v>Após estimar com a equipe, revise os pesos e registre a mudança.</x:v>
      </x:c>
      <x:c r="F23" s="2"/>
      <x:c r="G23" s="2"/>
    </x:row>
    <x:row r="24" ht="29" customHeight="1">
      <x:c r="A24" s="9" t="str">
        <x:v>10 Verificação integrada</x:v>
      </x:c>
      <x:c r="B24" s="9" t="n">
        <x:f>COUNTIFS('Tarefas'!$B$6:$B$132,A24)</x:f>
        <x:v>10</x:v>
      </x:c>
      <x:c r="C24" s="26" t="n">
        <x:f>SUMIFS('Tarefas'!$N$6:$N$132,'Tarefas'!$B$6:$B$132,A24)/SUMIFS('Tarefas'!$F$6:$F$132,'Tarefas'!$B$6:$B$132,A24)</x:f>
        <x:v>0</x:v>
      </x:c>
      <x:c r="D24" s="2"/>
      <x:c r="E24" s="2" t="str">
        <x:v>As fórmulas consideram todas as linhas atuais, mesmo filtradas.</x:v>
      </x:c>
      <x:c r="F24" s="2"/>
      <x:c r="G24" s="2"/>
    </x:row>
    <x:row r="25" ht="29" customHeight="1">
      <x:c r="A25" s="2" t="str">
        <x:v>11 Instalação, produção e sustentação</x:v>
      </x:c>
      <x:c r="B25" s="2" t="n">
        <x:f>COUNTIFS('Tarefas'!$B$6:$B$132,A25)</x:f>
        <x:v>13</x:v>
      </x:c>
      <x:c r="C25" s="25" t="n">
        <x:f>SUMIFS('Tarefas'!$N$6:$N$132,'Tarefas'!$B$6:$B$132,A25)/SUMIFS('Tarefas'!$F$6:$F$132,'Tarefas'!$B$6:$B$132,A25)</x:f>
        <x:v>0</x:v>
      </x:c>
      <x:c r="D25" s="2"/>
      <x:c r="E25" s="2" t="str">
        <x:v>Ao incluir tarefas, ampliar tabela e fórmulas de resumo.</x:v>
      </x:c>
      <x:c r="F25" s="2"/>
      <x:c r="G25" s="2"/>
    </x:row>
    <x:row r="26" ht="29" customHeight="1">
      <x:c r="A26" s="2"/>
      <x:c r="B26" s="2"/>
      <x:c r="C26" s="2"/>
      <x:c r="D26" s="2"/>
      <x:c r="E26" s="2" t="str">
        <x:v>Detalhamento passo a passo fica no documento pelo ID BK.</x:v>
      </x:c>
      <x:c r="F26" s="2"/>
      <x:c r="G26" s="2"/>
    </x:row>
    <x:row r="27" ht="29" customHeight="1">
      <x:c r="A27" s="2"/>
      <x:c r="B27" s="2"/>
      <x:c r="C27" s="2"/>
      <x:c r="D27" s="2"/>
      <x:c r="E27" s="2" t="str">
        <x:v>Não existe atualização automática de atividade no GitHub.</x:v>
      </x:c>
      <x:c r="F27" s="2"/>
      <x:c r="G27" s="2"/>
    </x:row>
    <x:row r="28" ht="28" customHeight="1">
      <x:c r="A28" s="2" t="str">
        <x:v>Responsáveis são papéis sugeridos; prazo e esforço aguardam a equipe.</x:v>
      </x:c>
      <x:c r="B28" s="2"/>
      <x:c r="C28" s="2"/>
      <x:c r="D28" s="2"/>
      <x:c r="E28" s="2"/>
      <x:c r="F28" s="2"/>
      <x:c r="G28" s="2"/>
    </x:row>
    <x:row r="29" ht="28" customHeight="1">
      <x:c r="A29" s="2"/>
      <x:c r="B29" s="2"/>
      <x:c r="C29" s="2"/>
      <x:c r="D29" s="2"/>
      <x:c r="E29" s="2"/>
      <x:c r="F29" s="2"/>
      <x:c r="G29" s="2"/>
    </x:row>
    <x:row r="30" ht="28" customHeight="1">
      <x:c r="A30" s="4" t="str">
        <x:v>Fonte: imagens e planilha MAJUCAU_CONSOLIDACAO_DEV_GATE_RC3_CEI_CONFIGURACOES_T16_T17.xlsx fornecidas pelo usuário.</x:v>
      </x:c>
      <x:c r="B30" s="2"/>
      <x:c r="C30" s="2"/>
      <x:c r="D30" s="2"/>
      <x:c r="E30" s="2"/>
      <x:c r="F30" s="2"/>
      <x:c r="G30" s="2"/>
    </x:row>
    <x:row r="31" ht="28" customHeight="1">
      <x:c r="A31" s="4" t="str">
        <x:v>Fechamento de 13/09/2026; decisões posteriores registradas no G0-DECISION-REGISTER.md até 11/10/2026.</x:v>
      </x:c>
      <x:c r="B31" s="2"/>
      <x:c r="C31" s="2"/>
      <x:c r="D31" s="2"/>
      <x:c r="E31" s="2"/>
      <x:c r="F31" s="2"/>
      <x:c r="G31" s="2"/>
    </x:row>
    <x:row r="32" ht="28" customHeight="1">
      <x:c r="A32" s="2"/>
      <x:c r="B32" s="2"/>
      <x:c r="C32" s="2"/>
      <x:c r="D32" s="2"/>
      <x:c r="E32" s="2"/>
      <x:c r="F32" s="2"/>
      <x:c r="G32" s="2"/>
    </x:row>
    <x:row r="33" ht="28" customHeight="1">
      <x:c r="A33" s="2" t="str">
        <x:v>Backlog em 11/10/2026: 7 concluídas, 11 em andamento e 109 não iniciadas. Estimativa: 8,5%; restante: 91,5%. É uma estimativa, não prova de prontidão.</x:v>
      </x:c>
      <x:c r="B33" s="2"/>
      <x:c r="C33" s="2"/>
      <x:c r="D33" s="2"/>
      <x:c r="E33" s="2"/>
      <x:c r="F33" s="2"/>
      <x:c r="G33" s="2"/>
    </x:row>
    <x:row r="34" ht="28" customHeight="1">
      <x:c r="A34" s="2" t="str">
        <x:v>D-1: análise/conciliação normal até ontem; agenda futura continua na projeção.</x:v>
      </x:c>
      <x:c r="B34" s="2"/>
      <x:c r="C34" s="2"/>
      <x:c r="D34" s="2"/>
      <x:c r="E34" s="2"/>
      <x:c r="F34" s="2"/>
      <x:c r="G34" s="2"/>
    </x:row>
    <x:row r="35" ht="28" customHeight="1">
      <x:c r="A35" s="2" t="str">
        <x:v>Nenhuma regra foi reaberta nesta auditoria. Paginação do Bling e outras pendências técnicas continuam em verificação.</x:v>
      </x:c>
      <x:c r="B35" s="2"/>
      <x:c r="C35" s="2"/>
      <x:c r="D35" s="2"/>
      <x:c r="E35" s="2"/>
      <x:c r="F35" s="2"/>
      <x:c r="G35" s="2"/>
    </x:row>
    <x:row r="36" ht="28" customHeight="1">
      <x:c r="A36" s="2"/>
      <x:c r="B36" s="2"/>
      <x:c r="C36" s="2"/>
      <x:c r="D36" s="2"/>
      <x:c r="E36" s="2"/>
      <x:c r="F36" s="2"/>
      <x:c r="G36" s="2"/>
    </x:row>
    <x:row r="37" ht="28" customHeight="1">
      <x:c r="A37" s="2"/>
      <x:c r="B37" s="2"/>
      <x:c r="C37" s="2"/>
      <x:c r="D37" s="2"/>
      <x:c r="E37" s="2"/>
      <x:c r="F37" s="2"/>
      <x:c r="G37" s="2"/>
    </x:row>
    <x:row r="38" ht="28" customHeight="1">
      <x:c r="A38" s="2"/>
      <x:c r="B38" s="2"/>
      <x:c r="C38" s="2"/>
      <x:c r="D38" s="2"/>
      <x:c r="E38" s="2"/>
      <x:c r="F38" s="2"/>
      <x:c r="G38" s="2"/>
    </x:row>
    <x:row r="39" ht="28" customHeight="1">
      <x:c r="A39" s="2"/>
      <x:c r="B39" s="2"/>
      <x:c r="C39" s="2"/>
      <x:c r="D39" s="2"/>
      <x:c r="E39" s="2"/>
      <x:c r="F39" s="2"/>
      <x:c r="G39" s="2"/>
    </x:row>
    <x:row r="40" ht="28" customHeight="1">
      <x:c r="A40" s="2"/>
      <x:c r="B40" s="2"/>
      <x:c r="C40" s="2"/>
      <x:c r="D40" s="2"/>
      <x:c r="E40" s="2"/>
      <x:c r="F40" s="2"/>
      <x:c r="G40" s="2"/>
    </x:row>
    <x:row r="41" ht="28" customHeight="1">
      <x:c r="A41" s="2"/>
      <x:c r="B41" s="2"/>
      <x:c r="C41" s="2"/>
      <x:c r="D41" s="2"/>
      <x:c r="E41" s="2"/>
      <x:c r="F41" s="2"/>
      <x:c r="G41" s="2"/>
    </x:row>
    <x:row r="42" ht="28" customHeight="1">
      <x:c r="A42" s="2"/>
      <x:c r="B42" s="2"/>
      <x:c r="C42" s="2"/>
      <x:c r="D42" s="2"/>
      <x:c r="E42" s="2"/>
      <x:c r="F42" s="2"/>
      <x:c r="G42" s="2"/>
    </x:row>
    <x:row r="43" ht="28" customHeight="1">
      <x:c r="A43" s="2"/>
      <x:c r="B43" s="2"/>
      <x:c r="C43" s="2"/>
      <x:c r="D43" s="2"/>
      <x:c r="E43" s="2"/>
      <x:c r="F43" s="2"/>
      <x:c r="G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E8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.75" hidden="0" customWidth="1"/>
    <x:col min="2" max="2" width="26.8799991607666" hidden="0" customWidth="1"/>
    <x:col min="3" max="3" width="48.130001068115234" hidden="0" customWidth="1"/>
    <x:col min="4" max="4" width="15" hidden="0" customWidth="1"/>
    <x:col min="5" max="5" width="17.75" hidden="0" customWidth="1"/>
    <x:col min="6" max="6" width="7.5" hidden="0" customWidth="1"/>
    <x:col min="7" max="7" width="10.630000114440918" hidden="0" customWidth="1"/>
    <x:col min="8" max="8" width="32.5" hidden="0" customWidth="1"/>
    <x:col min="9" max="9" width="28.75" hidden="0" customWidth="1"/>
    <x:col min="10" max="10" width="28.75" hidden="0" customWidth="1"/>
    <x:col min="11" max="11" width="28.75" hidden="0" customWidth="1"/>
    <x:col min="12" max="12" width="52.5" hidden="0" customWidth="1"/>
    <x:col min="13" max="13" width="16.25" hidden="0" customWidth="1"/>
    <x:col min="14" max="14" width="16.2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Majucau — tarefas do backlog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4" t="str">
        <x:v>Detalhes de objetivo, execução, aceite e impacto: documento MAJUCAU_BACKLOG_DETALHADO_v2.md, pelo ID.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8" t="str">
        <x:v>ID</x:v>
      </x:c>
      <x:c r="B5" s="8" t="str">
        <x:v>Fase</x:v>
      </x:c>
      <x:c r="C5" s="8" t="str">
        <x:v>Tarefa</x:v>
      </x:c>
      <x:c r="D5" s="8" t="str">
        <x:v>Natureza</x:v>
      </x:c>
      <x:c r="E5" s="8" t="str">
        <x:v>Situação</x:v>
      </x:c>
      <x:c r="F5" s="8" t="str">
        <x:v>Peso</x:v>
      </x:c>
      <x:c r="G5" s="8" t="str">
        <x:v>Evolução estimada</x:v>
      </x:c>
      <x:c r="H5" s="8" t="str">
        <x:v>Evidência de aceite</x:v>
      </x:c>
      <x:c r="I5" s="8" t="str">
        <x:v>Responsável sugerido</x:v>
      </x:c>
      <x:c r="J5" s="8" t="str">
        <x:v>Dependências</x:v>
      </x:c>
      <x:c r="K5" s="8" t="str">
        <x:v>Decisões a acompanhar</x:v>
      </x:c>
      <x:c r="L5" s="8" t="str">
        <x:v>Referências</x:v>
      </x:c>
      <x:c r="M5" s="8" t="str">
        <x:v>Peso com aceite</x:v>
      </x:c>
      <x:c r="N5" s="8" t="str">
        <x:v>Peso da evolução</x:v>
      </x:c>
    </x:row>
    <x:row r="6" ht="72" customHeight="1">
      <x:c r="A6" s="10" t="str">
        <x:v>BK-000</x:v>
      </x:c>
      <x:c r="B6" s="10" t="str">
        <x:v>00 Descoberta e decisões</x:v>
      </x:c>
      <x:c r="C6" s="10" t="str">
        <x:v>Confirmar a base de escopo e as decisões da Majucau</x:v>
      </x:c>
      <x:c r="D6" s="10" t="str">
        <x:v>Planejamento</x:v>
      </x:c>
      <x:c r="E6" s="12" t="str">
        <x:v>Concluída</x:v>
      </x:c>
      <x:c r="F6" s="18" t="n">
        <x:v>1</x:v>
      </x:c>
      <x:c r="G6" s="16" t="n">
        <x:v>1</x:v>
      </x:c>
      <x:c r="H6" s="12" t="str">
        <x:v>BK-000 auditado em 10/10/2026. Arquitetura/destino: ADR-001/002. Telas e regras aprovadas: G0. Pendências mantidas; sem alterações.</x:v>
      </x:c>
      <x:c r="I6" s="10" t="str">
        <x:v>Majucau + Arquitetura</x:v>
      </x:c>
      <x:c r="J6" s="10" t="str"/>
      <x:c r="K6" s="10" t="str">
        <x:v>Todas as decisões em aberto,F-13</x:v>
      </x:c>
      <x:c r="L6" s="10" t="str">
        <x:v>Pedido do usuário; 00_Resumo; C_Conflitos; D_Lacunas; Consolidação 13/09/2026, consolidação integral; Fechamento vigente 13/09/2026, integral</x:v>
      </x:c>
      <x:c r="M6" s="10" t="n">
        <x:f>IF(AND(E6="Concluída",H6&lt;&gt;""),F6,0)</x:f>
        <x:v>1</x:v>
      </x:c>
      <x:c r="N6" s="10" t="n">
        <x:f>F6*G6</x:f>
        <x:v>1</x:v>
      </x:c>
    </x:row>
    <x:row r="7" ht="72" customHeight="1">
      <x:c r="A7" s="11" t="str">
        <x:v>BK-001</x:v>
      </x:c>
      <x:c r="B7" s="11" t="str">
        <x:v>00 Descoberta e decisões</x:v>
      </x:c>
      <x:c r="C7" s="11" t="str">
        <x:v>Inventariar os materiais e suas versões</x:v>
      </x:c>
      <x:c r="D7" s="11" t="str">
        <x:v>Planejamento</x:v>
      </x:c>
      <x:c r="E7" s="12" t="str">
        <x:v>Concluída</x:v>
      </x:c>
      <x:c r="F7" s="18" t="n">
        <x:v>1</x:v>
      </x:c>
      <x:c r="G7" s="17" t="n">
        <x:v>1</x:v>
      </x:c>
      <x:c r="H7" s="12" t="str">
        <x:v>Concluída 11/10: originais/cópias conferidos 17/17 por nome, tamanho e hash; ZIP intacto. Extração: 20 abas. Mockups: 19 hashes e 3 duplicatas conferidos. Detalhes: docs/planejamento/FONTES.md.</x:v>
      </x:c>
      <x:c r="I7" s="11" t="str">
        <x:v>Produto + UX</x:v>
      </x:c>
      <x:c r="J7" s="11" t="str"/>
      <x:c r="K7" s="11" t="str">
        <x:v>Concluído: pacote original preservado e conferido. Pendências sobre conteúdo/regras permanecem nas tarefas técnicas correspondentes.</x:v>
      </x:c>
      <x:c r="L7" s="11" t="str">
        <x:v>docs/planejamento/FONTES.md; docs/source/README.md; docs/planejamento/work/source_extract; revision_v1.json; revision_v2.json</x:v>
      </x:c>
      <x:c r="M7" s="11" t="n">
        <x:f>IF(AND(E7="Concluída",H7&lt;&gt;""),F7,0)</x:f>
        <x:v>1</x:v>
      </x:c>
      <x:c r="N7" s="11" t="n">
        <x:f>F7*G7</x:f>
        <x:v>1</x:v>
      </x:c>
    </x:row>
    <x:row r="8" ht="72" customHeight="1">
      <x:c r="A8" s="10" t="str">
        <x:v>BK-002</x:v>
      </x:c>
      <x:c r="B8" s="10" t="str">
        <x:v>00 Descoberta e decisões</x:v>
      </x:c>
      <x:c r="C8" s="10" t="str">
        <x:v>Verificar o ponto de partida no GitHub</x:v>
      </x:c>
      <x:c r="D8" s="10" t="str">
        <x:v>Planejamento</x:v>
      </x:c>
      <x:c r="E8" s="12" t="str">
        <x:v>Concluída</x:v>
      </x:c>
      <x:c r="F8" s="18" t="n">
        <x:v>1</x:v>
      </x:c>
      <x:c r="G8" s="16" t="n">
        <x:v>1</x:v>
      </x:c>
      <x:c r="H8" s="12" t="str">
        <x:v>Auditoria pública somente de leitura em 10/10/2026: repositório público, branch padrão main no commit 39f8630390936717b2500c8b7ce923dc138cca72; branch de trabalho codex/majucau-artifact-consolidation em b94bb3a, mesma ponta remota, 178 commits à frente e zero atrás de main. A API retornou zero issues e cinco pull requests abertos e não mesclados (#1–#5), todos em outras branches. A afirmação de repositório vazio em v0 é histórica. A responsável confirmou que não há outro clone, servidor ou ambiente de trabalho fora deste checkout; o código é controlado somente pelo Git/GitHub. Nenhuma branch foi mesclada e nenhum teste foi executado.</x:v>
      </x:c>
      <x:c r="I8" s="10" t="str">
        <x:v>Arquitetura</x:v>
      </x:c>
      <x:c r="J8" s="10" t="str"/>
      <x:c r="K8" s="10" t="str"/>
      <x:c r="L8" s="10" t="str">
        <x:v>GitHub REST: repos/guilhermejacyzin/majucau, branches/main, issues?state=all, pulls?state=all; git ls-remote origin; comparação origin/main..HEAD</x:v>
      </x:c>
      <x:c r="M8" s="10" t="n">
        <x:f>IF(AND(E8="Concluída",H8&lt;&gt;""),F8,0)</x:f>
        <x:v>1</x:v>
      </x:c>
      <x:c r="N8" s="10" t="n">
        <x:f>F8*G8</x:f>
        <x:v>1</x:v>
      </x:c>
    </x:row>
    <x:row r="9" ht="72" customHeight="1">
      <x:c r="A9" s="11" t="str">
        <x:v>BK-003</x:v>
      </x:c>
      <x:c r="B9" s="11" t="str">
        <x:v>00 Descoberta e decisões</x:v>
      </x:c>
      <x:c r="C9" s="11" t="str">
        <x:v>Auditar cada tela e seus cálculos ilustrativos</x:v>
      </x:c>
      <x:c r="D9" s="11" t="str">
        <x:v>Planejamento</x:v>
      </x:c>
      <x:c r="E9" s="12" t="str">
        <x:v>Concluída</x:v>
      </x:c>
      <x:c r="F9" s="18" t="n">
        <x:v>1</x:v>
      </x:c>
      <x:c r="G9" s="17" t="n">
        <x:v>1</x:v>
      </x:c>
      <x:c r="H9" s="12" t="str">
        <x:v>MAJUCAU_ANALISE_E_DECISOES_v0.md — inventário e análise; inspeção dos materiais e GitHub nesta sessão. Evidência original preservada na versão 0; esta revisão não altera a conclusão desse levantamento.</x:v>
      </x:c>
      <x:c r="I9" s="11" t="str">
        <x:v>UX + Produto + QA</x:v>
      </x:c>
      <x:c r="J9" s="11" t="str">
        <x:v>BK-001</x:v>
      </x:c>
      <x:c r="K9" s="11" t="str"/>
      <x:c r="L9" s="11" t="str">
        <x:v>Todas as imagens; CEIs T11–T17</x:v>
      </x:c>
      <x:c r="M9" s="11" t="n">
        <x:f>IF(AND(E9="Concluída",H9&lt;&gt;""),F9,0)</x:f>
        <x:v>1</x:v>
      </x:c>
      <x:c r="N9" s="11" t="n">
        <x:f>F9*G9</x:f>
        <x:v>1</x:v>
      </x:c>
    </x:row>
    <x:row r="10" ht="72" customHeight="1">
      <x:c r="A10" s="10" t="str">
        <x:v>BK-004</x:v>
      </x:c>
      <x:c r="B10" s="10" t="str">
        <x:v>00 Descoberta e decisões</x:v>
      </x:c>
      <x:c r="C10" s="10" t="str">
        <x:v>Localizar e versionar os mockups e contratos aprovados</x:v>
      </x:c>
      <x:c r="D10" s="10" t="str">
        <x:v>Planejamento</x:v>
      </x:c>
      <x:c r="E10" s="12" t="str">
        <x:v>Concluída</x:v>
      </x:c>
      <x:c r="F10" s="18" t="n">
        <x:v>1</x:v>
      </x:c>
      <x:c r="G10" s="16" t="n">
        <x:v>1</x:v>
      </x:c>
      <x:c r="H10" s="12" t="str">
        <x:v>As 15 referências do inventário existem e os 15 SHA-256 conferem; o MOCAP mapeia 15 rotas e registra Balanço Patrimonial fora do escopo, ausência de rota separada Aplicações e correções aprovadas da T6. Contratos de cálculo continuam vinculados às tarefas financeiras específicas.</x:v>
      </x:c>
      <x:c r="I10" s="10" t="str">
        <x:v>Majucau + UX</x:v>
      </x:c>
      <x:c r="J10" s="10" t="str">
        <x:v>BK-001</x:v>
      </x:c>
      <x:c r="K10" s="10" t="str">
        <x:v>Q-01,Q-02,F-13</x:v>
      </x:c>
      <x:c r="L10" s="10" t="str">
        <x:v>docs/source/README.md; docs/evidence/MOCAP-T1-T15-REALIGNMENT-2026-09-20.md; docs/FUNCTIONAL-DECOMPOSITION-v1.md; G0-DECISION-REGISTER.md; conferência local dos hashes em 11/10/2026</x:v>
      </x:c>
      <x:c r="M10" s="10" t="n">
        <x:f>IF(AND(E10="Concluída",H10&lt;&gt;""),F10,0)</x:f>
        <x:v>1</x:v>
      </x:c>
      <x:c r="N10" s="10" t="n">
        <x:f>F10*G10</x:f>
        <x:v>1</x:v>
      </x:c>
    </x:row>
    <x:row r="11" ht="72" customHeight="1">
      <x:c r="A11" s="11" t="str">
        <x:v>BK-005</x:v>
      </x:c>
      <x:c r="B11" s="11" t="str">
        <x:v>00 Descoberta e decisões</x:v>
      </x:c>
      <x:c r="C11" s="11" t="str">
        <x:v>Detalhar os casos de pagamento divergente após decidir C-01</x:v>
      </x:c>
      <x:c r="D11" s="11" t="str">
        <x:v>Planejamento</x:v>
      </x:c>
      <x:c r="E11" s="12" t="str">
        <x:v>Concluída</x:v>
      </x:c>
      <x:c r="F11" s="18" t="n">
        <x:v>1</x:v>
      </x:c>
      <x:c r="G11" s="17" t="n">
        <x:v>1</x:v>
      </x:c>
      <x:c r="H11" s="12" t="str">
        <x:v>Cenários de aceite e tratamento de ambiguidade registrados nesta tarefa a partir da regra C-01 aprovada; não houve alteração de código nem execução de testes.</x:v>
      </x:c>
      <x:c r="I11" s="11" t="str">
        <x:v>Majucau / Financeiro</x:v>
      </x:c>
      <x:c r="J11" s="11" t="str"/>
      <x:c r="K11" s="11" t="str">
        <x:v>C-01</x:v>
      </x:c>
      <x:c r="L11" s="11" t="str">
        <x:v>C_Conflitos!A3:L3; T04; Fechamento vigente 13/09/2026, §8.6–8.8; C-01 mantida</x:v>
      </x:c>
      <x:c r="M11" s="11" t="n">
        <x:f>IF(AND(E11="Concluída",H11&lt;&gt;""),F11,0)</x:f>
        <x:v>1</x:v>
      </x:c>
      <x:c r="N11" s="11" t="n">
        <x:f>F11*G11</x:f>
        <x:v>1</x:v>
      </x:c>
    </x:row>
    <x:row r="12" ht="72" customHeight="1">
      <x:c r="A12" s="10" t="str">
        <x:v>BK-006</x:v>
      </x:c>
      <x:c r="B12" s="10" t="str">
        <x:v>00 Descoberta e decisões</x:v>
      </x:c>
      <x:c r="C12" s="10" t="str">
        <x:v>Especificar tecnicamente a regra fechada da calculadora</x:v>
      </x:c>
      <x:c r="D12" s="10" t="str">
        <x:v>Planejamento</x:v>
      </x:c>
      <x:c r="E12" s="12" t="str">
        <x:v>Em andamento</x:v>
      </x:c>
      <x:c r="F12" s="18" t="n">
        <x:v>1</x:v>
      </x:c>
      <x:c r="G12" s="16" t="n">
        <x:v>0.3</x:v>
      </x:c>
      <x:c r="H12" s="12" t="str">
        <x:v>Mapa em docs/evidence/APPLICATION-RULE-D003A-2026-09-20.md: DRE/fluxo sem ligação de produção; faltam fonte de aportes/resgates e saldo Itaú transferível. A responsável reiterou em 11/10/2026 que se preserve a estrutura da calculadora enviada; qualquer mapeamento ainda incerto aguarda confirmação. Regra e tela preservadas.</x:v>
      </x:c>
      <x:c r="I12" s="10" t="str">
        <x:v>Majucau / Financeiro</x:v>
      </x:c>
      <x:c r="J12" s="10" t="str"/>
      <x:c r="K12" s="10" t="str">
        <x:v>L-07,Q-10,Q-21,R-06,R-08,F-01</x:v>
      </x:c>
      <x:c r="L12" s="10" t="str">
        <x:v>C_Conflitos!A4:L5; A_Matriz_Mestra!A32:S36; T02/T08; planilha Calculadora_Aplicacao_Lucro_Liquido_Profissional (1).xlsm enviada em 10/10/2026; fechamento de 13/09/2026, §§1–2</x:v>
      </x:c>
      <x:c r="M12" s="10" t="n">
        <x:f>IF(AND(E12="Concluída",H12&lt;&gt;""),F12,0)</x:f>
        <x:v>0</x:v>
      </x:c>
      <x:c r="N12" s="10" t="n">
        <x:f>F12*G12</x:f>
        <x:v>0.3</x:v>
      </x:c>
    </x:row>
    <x:row r="13" ht="72" customHeight="1">
      <x:c r="A13" s="11" t="str">
        <x:v>BK-007</x:v>
      </x:c>
      <x:c r="B13" s="11" t="str">
        <x:v>00 Descoberta e decisões</x:v>
      </x:c>
      <x:c r="C13" s="11" t="str">
        <x:v>Especificar as regras da DRE própria do Majucau</x:v>
      </x:c>
      <x:c r="D13" s="11" t="str">
        <x:v>Planejamento</x:v>
      </x:c>
      <x:c r="E13" s="12" t="str">
        <x:v>Em andamento</x:v>
      </x:c>
      <x:c r="F13" s="18" t="n">
        <x:v>1</x:v>
      </x:c>
      <x:c r="G13" s="17" t="n">
        <x:v>0.2</x:v>
      </x:c>
      <x:c r="H13" s="12" t="str"/>
      <x:c r="I13" s="11" t="str">
        <x:v>Arquitetura + Integrações</x:v>
      </x:c>
      <x:c r="J13" s="11" t="str"/>
      <x:c r="K13" s="11" t="str">
        <x:v>L-03,L-04,L-05,L-08,L-09,L-13,L-14,Q-09,HT-04,HT-06,F-02,F-03</x:v>
      </x:c>
      <x:c r="L13" s="11" t="str">
        <x:v>D_Lacunas; M-017..M-029; Consolidação 13/09/2026, pendências 4–6; Fechamento vigente 13/09/2026, §2</x:v>
      </x:c>
      <x:c r="M13" s="11" t="n">
        <x:f>IF(AND(E13="Concluída",H13&lt;&gt;""),F13,0)</x:f>
        <x:v>0</x:v>
      </x:c>
      <x:c r="N13" s="11" t="n">
        <x:f>F13*G13</x:f>
        <x:v>0.2</x:v>
      </x:c>
    </x:row>
    <x:row r="14" ht="72" customHeight="1">
      <x:c r="A14" s="10" t="str">
        <x:v>BK-008</x:v>
      </x:c>
      <x:c r="B14" s="10" t="str">
        <x:v>00 Descoberta e decisões</x:v>
      </x:c>
      <x:c r="C14" s="10" t="str">
        <x:v>Especificar necessidade líquida e acompanhamento da produção</x:v>
      </x:c>
      <x:c r="D14" s="10" t="str">
        <x:v>Planejamento</x:v>
      </x:c>
      <x:c r="E14" s="12" t="str">
        <x:v>Não iniciada</x:v>
      </x:c>
      <x:c r="F14" s="18" t="n">
        <x:v>1</x:v>
      </x:c>
      <x:c r="G14" s="16" t="n">
        <x:v>0</x:v>
      </x:c>
      <x:c r="H14" s="12" t="str"/>
      <x:c r="I14" s="10" t="str">
        <x:v>Majucau / Operação</x:v>
      </x:c>
      <x:c r="J14" s="10" t="str"/>
      <x:c r="K14" s="10" t="str">
        <x:v>L-17,L-18,Q-07,Q-08,F-04,F-05,F-09</x:v>
      </x:c>
      <x:c r="L14" s="10" t="str">
        <x:v>T09/T10; Q_CEI_Tela_11; Consolidação 13/09/2026, §3; Fechamento vigente 13/09/2026, §§3–4</x:v>
      </x:c>
      <x:c r="M14" s="10" t="n">
        <x:f>IF(AND(E14="Concluída",H14&lt;&gt;""),F14,0)</x:f>
        <x:v>0</x:v>
      </x:c>
      <x:c r="N14" s="10" t="n">
        <x:f>F14*G14</x:f>
        <x:v>0</x:v>
      </x:c>
    </x:row>
    <x:row r="15" ht="72" customHeight="1">
      <x:c r="A15" s="11" t="str">
        <x:v>BK-009</x:v>
      </x:c>
      <x:c r="B15" s="11" t="str">
        <x:v>00 Descoberta e decisões</x:v>
      </x:c>
      <x:c r="C15" s="11" t="str">
        <x:v>Especificar forecast, metas e planejamento de reposição</x:v>
      </x:c>
      <x:c r="D15" s="11" t="str">
        <x:v>Planejamento</x:v>
      </x:c>
      <x:c r="E15" s="12" t="str">
        <x:v>Não iniciada</x:v>
      </x:c>
      <x:c r="F15" s="18" t="n">
        <x:v>1</x:v>
      </x:c>
      <x:c r="G15" s="17" t="n">
        <x:v>0</x:v>
      </x:c>
      <x:c r="H15" s="12" t="str"/>
      <x:c r="I15" s="11" t="str">
        <x:v>Arquitetura + Dados</x:v>
      </x:c>
      <x:c r="J15" s="11" t="str"/>
      <x:c r="K15" s="11" t="str">
        <x:v>L-20,L-21,Q-11,Q-12,R-13,HT-09,F-10,F-11</x:v>
      </x:c>
      <x:c r="L15" s="11" t="str">
        <x:v>R_CEI_Tela_12; T12; M-045..M-049; Consolidação 13/09/2026, pendência 9; Fechamento vigente 13/09/2026, §4</x:v>
      </x:c>
      <x:c r="M15" s="11" t="n">
        <x:f>IF(AND(E15="Concluída",H15&lt;&gt;""),F15,0)</x:f>
        <x:v>0</x:v>
      </x:c>
      <x:c r="N15" s="11" t="n">
        <x:f>F15*G15</x:f>
        <x:v>0</x:v>
      </x:c>
    </x:row>
    <x:row r="16" ht="72" customHeight="1">
      <x:c r="A16" s="10" t="str">
        <x:v>BK-010</x:v>
      </x:c>
      <x:c r="B16" s="10" t="str">
        <x:v>00 Descoberta e decisões</x:v>
      </x:c>
      <x:c r="C16" s="10" t="str">
        <x:v>Homologar contratos do Bling e das três estruturas do Google Drive</x:v>
      </x:c>
      <x:c r="D16" s="10" t="str">
        <x:v>Planejamento</x:v>
      </x:c>
      <x:c r="E16" s="12" t="str">
        <x:v>Não iniciada</x:v>
      </x:c>
      <x:c r="F16" s="18" t="n">
        <x:v>1</x:v>
      </x:c>
      <x:c r="G16" s="16" t="n">
        <x:v>0</x:v>
      </x:c>
      <x:c r="H16" s="12" t="str"/>
      <x:c r="I16" s="10" t="str">
        <x:v>Engenharia de Integrações + responsável pelos arquivos</x:v>
      </x:c>
      <x:c r="J16" s="10" t="str"/>
      <x:c r="K16" s="10" t="str">
        <x:v>L-11,L-12,L-24,Q-06,R-01,R-02,R-10,HT-08,F-18,F-19</x:v>
      </x:c>
      <x:c r="L16" s="10" t="str">
        <x:v>H_Contrato_Dados; U_CEI_Tela_15; Consolidação 13/09/2026, §§1–2,10–12; Fechamento vigente 13/09/2026, §8</x:v>
      </x:c>
      <x:c r="M16" s="10" t="n">
        <x:f>IF(AND(E16="Concluída",H16&lt;&gt;""),F16,0)</x:f>
        <x:v>0</x:v>
      </x:c>
      <x:c r="N16" s="10" t="n">
        <x:f>F16*G16</x:f>
        <x:v>0</x:v>
      </x:c>
    </x:row>
    <x:row r="17" ht="72" customHeight="1">
      <x:c r="A17" s="11" t="str">
        <x:v>BK-011</x:v>
      </x:c>
      <x:c r="B17" s="11" t="str">
        <x:v>00 Descoberta e decisões</x:v>
      </x:c>
      <x:c r="C17" s="11" t="str">
        <x:v>Definir fontes e critérios dos sinais do cacau</x:v>
      </x:c>
      <x:c r="D17" s="11" t="str">
        <x:v>Planejamento</x:v>
      </x:c>
      <x:c r="E17" s="12" t="str">
        <x:v>Não iniciada</x:v>
      </x:c>
      <x:c r="F17" s="18" t="n">
        <x:v>1</x:v>
      </x:c>
      <x:c r="G17" s="17" t="n">
        <x:v>0</x:v>
      </x:c>
      <x:c r="H17" s="12" t="str"/>
      <x:c r="I17" s="11" t="str">
        <x:v>Engenharia de Dados</x:v>
      </x:c>
      <x:c r="J17" s="11" t="str"/>
      <x:c r="K17" s="11" t="str">
        <x:v>L-19,R-14,HT-10,F-07</x:v>
      </x:c>
      <x:c r="L17" s="11" t="str">
        <x:v>Q_CEI_Tela_11; H_Contrato_Dados!A21:H22; Consolidação 13/09/2026, pendência 10; Fechamento vigente 13/09/2026, §3.4</x:v>
      </x:c>
      <x:c r="M17" s="11" t="n">
        <x:f>IF(AND(E17="Concluída",H17&lt;&gt;""),F17,0)</x:f>
        <x:v>0</x:v>
      </x:c>
      <x:c r="N17" s="11" t="n">
        <x:f>F17*G17</x:f>
        <x:v>0</x:v>
      </x:c>
    </x:row>
    <x:row r="18" ht="72" customHeight="1">
      <x:c r="A18" s="10" t="str">
        <x:v>BK-012</x:v>
      </x:c>
      <x:c r="B18" s="10" t="str">
        <x:v>00 Descoberta e decisões</x:v>
      </x:c>
      <x:c r="C18" s="10" t="str">
        <x:v>Especificar ações e exportações já previstas</x:v>
      </x:c>
      <x:c r="D18" s="10" t="str">
        <x:v>Planejamento</x:v>
      </x:c>
      <x:c r="E18" s="12" t="str">
        <x:v>Em andamento</x:v>
      </x:c>
      <x:c r="F18" s="18" t="n">
        <x:v>1</x:v>
      </x:c>
      <x:c r="G18" s="16" t="n">
        <x:v>0.15</x:v>
      </x:c>
      <x:c r="H18" s="12" t="str">
        <x:v>15%: Matriz T13–T15; exportação aprovada; rota e escopo pendentes. Ver auditoria ACTION-EXPORT-STATIC-AUDIT-2026-10-11.</x:v>
      </x:c>
      <x:c r="I18" s="10" t="str">
        <x:v>Majucau + UX</x:v>
      </x:c>
      <x:c r="J18" s="10" t="str"/>
      <x:c r="K18" s="10" t="str">
        <x:v>L-22,L-23,Q-13,F-14</x:v>
      </x:c>
      <x:c r="L18" s="10" t="str">
        <x:v>S/T/U CEIs; T02–T07; T13–T15; Fechamento vigente 13/09/2026, §§5–6</x:v>
      </x:c>
      <x:c r="M18" s="10" t="n">
        <x:f>IF(AND(E18="Concluída",H18&lt;&gt;""),F18,0)</x:f>
        <x:v>0</x:v>
      </x:c>
      <x:c r="N18" s="10" t="n">
        <x:f>F18*G18</x:f>
        <x:v>0.15</x:v>
      </x:c>
    </x:row>
    <x:row r="19" ht="72" customHeight="1">
      <x:c r="A19" s="11" t="str">
        <x:v>BK-013</x:v>
      </x:c>
      <x:c r="B19" s="11" t="str">
        <x:v>00 Descoberta e decisões</x:v>
      </x:c>
      <x:c r="C19" s="11" t="str">
        <x:v>Especificar perfis, capacidades, vigência e auditoria</x:v>
      </x:c>
      <x:c r="D19" s="11" t="str">
        <x:v>Planejamento</x:v>
      </x:c>
      <x:c r="E19" s="12" t="str">
        <x:v>Em andamento</x:v>
      </x:c>
      <x:c r="F19" s="18" t="n">
        <x:v>1</x:v>
      </x:c>
      <x:c r="G19" s="17" t="n">
        <x:v>0.15</x:v>
      </x:c>
      <x:c r="H19" s="12" t="str"/>
      <x:c r="I19" s="11" t="str">
        <x:v>Arquitetura + Segurança</x:v>
      </x:c>
      <x:c r="J19" s="11" t="str"/>
      <x:c r="K19" s="11" t="str">
        <x:v>L-25,L-26,Q-14,F-15</x:v>
      </x:c>
      <x:c r="L19" s="11" t="str">
        <x:v>W/Y CEIs; H_Contrato_Dados!A34:H39; Fechamento vigente 13/09/2026, §6</x:v>
      </x:c>
      <x:c r="M19" s="11" t="n">
        <x:f>IF(AND(E19="Concluída",H19&lt;&gt;""),F19,0)</x:f>
        <x:v>0</x:v>
      </x:c>
      <x:c r="N19" s="11" t="n">
        <x:f>F19*G19</x:f>
        <x:v>0.15</x:v>
      </x:c>
    </x:row>
    <x:row r="20" ht="72" customHeight="1">
      <x:c r="A20" s="10" t="str">
        <x:v>BK-014</x:v>
      </x:c>
      <x:c r="B20" s="10" t="str">
        <x:v>00 Descoberta e decisões</x:v>
      </x:c>
      <x:c r="C20" s="10" t="str">
        <x:v>Inventariar o Windows e propor a operação local</x:v>
      </x:c>
      <x:c r="D20" s="10" t="str">
        <x:v>Planejamento</x:v>
      </x:c>
      <x:c r="E20" s="12" t="str">
        <x:v>Em andamento</x:v>
      </x:c>
      <x:c r="F20" s="18" t="n">
        <x:v>1</x:v>
      </x:c>
      <x:c r="G20" s="16" t="n">
        <x:v>0.15</x:v>
      </x:c>
      <x:c r="H20" s="12" t="str"/>
      <x:c r="I20" s="10" t="str">
        <x:v>Infraestrutura + Segurança</x:v>
      </x:c>
      <x:c r="J20" s="10" t="str"/>
      <x:c r="K20" s="10" t="str">
        <x:v>Q-03,Q-04,Q-05,Q-15,Q-16,F-17</x:v>
      </x:c>
      <x:c r="L20" s="10" t="str">
        <x:v>Pedido: hospedagem local; Fechamento vigente 13/09/2026, §7</x:v>
      </x:c>
      <x:c r="M20" s="10" t="n">
        <x:f>IF(AND(E20="Concluída",H20&lt;&gt;""),F20,0)</x:f>
        <x:v>0</x:v>
      </x:c>
      <x:c r="N20" s="10" t="n">
        <x:f>F20*G20</x:f>
        <x:v>0.15</x:v>
      </x:c>
    </x:row>
    <x:row r="21" ht="72" customHeight="1">
      <x:c r="A21" s="11" t="str">
        <x:v>BK-015</x:v>
      </x:c>
      <x:c r="B21" s="11" t="str">
        <x:v>00 Descoberta e decisões</x:v>
      </x:c>
      <x:c r="C21" s="11" t="str">
        <x:v>Organizar responsáveis, estimativas e marcos de entrega</x:v>
      </x:c>
      <x:c r="D21" s="11" t="str">
        <x:v>Planejamento</x:v>
      </x:c>
      <x:c r="E21" s="12" t="str">
        <x:v>Não iniciada</x:v>
      </x:c>
      <x:c r="F21" s="18" t="n">
        <x:v>1</x:v>
      </x:c>
      <x:c r="G21" s="17" t="n">
        <x:v>0</x:v>
      </x:c>
      <x:c r="H21" s="12" t="str"/>
      <x:c r="I21" s="11" t="str">
        <x:v>Majucau + Liderança técnica</x:v>
      </x:c>
      <x:c r="J21" s="11" t="str">
        <x:v>BK-000, BK-004, BK-014</x:v>
      </x:c>
      <x:c r="K21" s="11" t="str">
        <x:v>Q-17</x:v>
      </x:c>
      <x:c r="L21" s="11" t="str">
        <x:v>Pedido do usuário; G_Ordem; Fechamento vigente 13/09/2026, §7</x:v>
      </x:c>
      <x:c r="M21" s="11" t="n">
        <x:f>IF(AND(E21="Concluída",H21&lt;&gt;""),F21,0)</x:f>
        <x:v>0</x:v>
      </x:c>
      <x:c r="N21" s="11" t="n">
        <x:f>F21*G21</x:f>
        <x:v>0</x:v>
      </x:c>
    </x:row>
    <x:row r="22" ht="72" customHeight="1">
      <x:c r="A22" s="10" t="str">
        <x:v>BK-016</x:v>
      </x:c>
      <x:c r="B22" s="10" t="str">
        <x:v>01 Arquitetura e UX</x:v>
      </x:c>
      <x:c r="C22" s="10" t="str">
        <x:v>Modelar os domínios e o vocabulário do negócio</x:v>
      </x:c>
      <x:c r="D22" s="10" t="str">
        <x:v>Desenvolvimento</x:v>
      </x:c>
      <x:c r="E22" s="12" t="str">
        <x:v>Não iniciada</x:v>
      </x:c>
      <x:c r="F22" s="18" t="n">
        <x:v>1</x:v>
      </x:c>
      <x:c r="G22" s="16" t="n">
        <x:v>0</x:v>
      </x:c>
      <x:c r="H22" s="12" t="str"/>
      <x:c r="I22" s="10" t="str">
        <x:v>Arquitetura</x:v>
      </x:c>
      <x:c r="J22" s="10" t="str">
        <x:v>BK-000, BK-005, BK-006, BK-007, BK-008, BK-009</x:v>
      </x:c>
      <x:c r="K22" s="10" t="str"/>
      <x:c r="L22" s="10" t="str">
        <x:v>A_Matriz_Mestra; B_Intersecoes; H_Contrato_Dados; Consolidação 13/09/2026, §§6,10–12; Fechamento vigente 13/09/2026, §§1–4</x:v>
      </x:c>
      <x:c r="M22" s="10" t="n">
        <x:f>IF(AND(E22="Concluída",H22&lt;&gt;""),F22,0)</x:f>
        <x:v>0</x:v>
      </x:c>
      <x:c r="N22" s="10" t="n">
        <x:f>F22*G22</x:f>
        <x:v>0</x:v>
      </x:c>
    </x:row>
    <x:row r="23" ht="72" customHeight="1">
      <x:c r="A23" s="11" t="str">
        <x:v>BK-017</x:v>
      </x:c>
      <x:c r="B23" s="11" t="str">
        <x:v>01 Arquitetura e UX</x:v>
      </x:c>
      <x:c r="C23" s="11" t="str">
        <x:v>Definir a estrutura hexagonal do monólito Go</x:v>
      </x:c>
      <x:c r="D23" s="11" t="str">
        <x:v>Desenvolvimento</x:v>
      </x:c>
      <x:c r="E23" s="12" t="str">
        <x:v>Não iniciada</x:v>
      </x:c>
      <x:c r="F23" s="18" t="n">
        <x:v>1</x:v>
      </x:c>
      <x:c r="G23" s="17" t="n">
        <x:v>0</x:v>
      </x:c>
      <x:c r="H23" s="12" t="str"/>
      <x:c r="I23" s="11" t="str">
        <x:v>Arquitetura</x:v>
      </x:c>
      <x:c r="J23" s="11" t="str">
        <x:v>BK-016</x:v>
      </x:c>
      <x:c r="K23" s="11" t="str"/>
      <x:c r="L23" s="11" t="str">
        <x:v>Stack definida pelo usuário</x:v>
      </x:c>
      <x:c r="M23" s="11" t="n">
        <x:f>IF(AND(E23="Concluída",H23&lt;&gt;""),F23,0)</x:f>
        <x:v>0</x:v>
      </x:c>
      <x:c r="N23" s="11" t="n">
        <x:f>F23*G23</x:f>
        <x:v>0</x:v>
      </x:c>
    </x:row>
    <x:row r="24" ht="72" customHeight="1">
      <x:c r="A24" s="10" t="str">
        <x:v>BK-018</x:v>
      </x:c>
      <x:c r="B24" s="10" t="str">
        <x:v>01 Arquitetura e UX</x:v>
      </x:c>
      <x:c r="C24" s="10" t="str">
        <x:v>Definir persistência, migrações e precisão dos dados</x:v>
      </x:c>
      <x:c r="D24" s="10" t="str">
        <x:v>Desenvolvimento</x:v>
      </x:c>
      <x:c r="E24" s="12" t="str">
        <x:v>Não iniciada</x:v>
      </x:c>
      <x:c r="F24" s="18" t="n">
        <x:v>1</x:v>
      </x:c>
      <x:c r="G24" s="16" t="n">
        <x:v>0</x:v>
      </x:c>
      <x:c r="H24" s="12" t="str"/>
      <x:c r="I24" s="10" t="str">
        <x:v>Arquitetura + Dados</x:v>
      </x:c>
      <x:c r="J24" s="10" t="str">
        <x:v>BK-016, BK-010</x:v>
      </x:c>
      <x:c r="K24" s="10" t="str"/>
      <x:c r="L24" s="10" t="str">
        <x:v>H_Contrato_Dados; proposta técnica</x:v>
      </x:c>
      <x:c r="M24" s="10" t="n">
        <x:f>IF(AND(E24="Concluída",H24&lt;&gt;""),F24,0)</x:f>
        <x:v>0</x:v>
      </x:c>
      <x:c r="N24" s="10" t="n">
        <x:f>F24*G24</x:f>
        <x:v>0</x:v>
      </x:c>
    </x:row>
    <x:row r="25" ht="72" customHeight="1">
      <x:c r="A25" s="11" t="str">
        <x:v>BK-019</x:v>
      </x:c>
      <x:c r="B25" s="11" t="str">
        <x:v>01 Arquitetura e UX</x:v>
      </x:c>
      <x:c r="C25" s="11" t="str">
        <x:v>Descrever contratos de API e estados de leitura</x:v>
      </x:c>
      <x:c r="D25" s="11" t="str">
        <x:v>Desenvolvimento</x:v>
      </x:c>
      <x:c r="E25" s="12" t="str">
        <x:v>Não iniciada</x:v>
      </x:c>
      <x:c r="F25" s="18" t="n">
        <x:v>1</x:v>
      </x:c>
      <x:c r="G25" s="17" t="n">
        <x:v>0</x:v>
      </x:c>
      <x:c r="H25" s="12" t="str"/>
      <x:c r="I25" s="11" t="str">
        <x:v>Full Stack</x:v>
      </x:c>
      <x:c r="J25" s="11" t="str">
        <x:v>BK-017, BK-012, BK-013</x:v>
      </x:c>
      <x:c r="K25" s="11" t="str">
        <x:v>F-01</x:v>
      </x:c>
      <x:c r="L25" s="11" t="str">
        <x:v>H_Contrato_Dados; todos CEIs; Fechamento vigente 13/09/2026, §1</x:v>
      </x:c>
      <x:c r="M25" s="11" t="n">
        <x:f>IF(AND(E25="Concluída",H25&lt;&gt;""),F25,0)</x:f>
        <x:v>0</x:v>
      </x:c>
      <x:c r="N25" s="11" t="n">
        <x:f>F25*G25</x:f>
        <x:v>0</x:v>
      </x:c>
    </x:row>
    <x:row r="26" ht="72" customHeight="1">
      <x:c r="A26" s="10" t="str">
        <x:v>BK-020</x:v>
      </x:c>
      <x:c r="B26" s="10" t="str">
        <x:v>01 Arquitetura e UX</x:v>
      </x:c>
      <x:c r="C26" s="10" t="str">
        <x:v>Modelar estado, proveniência e consistência entre telas</x:v>
      </x:c>
      <x:c r="D26" s="10" t="str">
        <x:v>Desenvolvimento</x:v>
      </x:c>
      <x:c r="E26" s="12" t="str">
        <x:v>Não iniciada</x:v>
      </x:c>
      <x:c r="F26" s="18" t="n">
        <x:v>1</x:v>
      </x:c>
      <x:c r="G26" s="16" t="n">
        <x:v>0</x:v>
      </x:c>
      <x:c r="H26" s="12" t="str"/>
      <x:c r="I26" s="10" t="str">
        <x:v>Engenharia</x:v>
      </x:c>
      <x:c r="J26" s="10" t="str">
        <x:v>BK-018, BK-019</x:v>
      </x:c>
      <x:c r="K26" s="10" t="str">
        <x:v>F-08,F-20</x:v>
      </x:c>
      <x:c r="L26" s="10" t="str">
        <x:v>M-002,M-037,M-038; H_Contrato_Dados; Fechamento vigente 13/09/2026, §§4.3,8.7–8.8</x:v>
      </x:c>
      <x:c r="M26" s="10" t="n">
        <x:f>IF(AND(E26="Concluída",H26&lt;&gt;""),F26,0)</x:f>
        <x:v>0</x:v>
      </x:c>
      <x:c r="N26" s="10" t="n">
        <x:f>F26*G26</x:f>
        <x:v>0</x:v>
      </x:c>
    </x:row>
    <x:row r="27" ht="72" customHeight="1">
      <x:c r="A27" s="11" t="str">
        <x:v>BK-021</x:v>
      </x:c>
      <x:c r="B27" s="11" t="str">
        <x:v>01 Arquitetura e UX</x:v>
      </x:c>
      <x:c r="C27" s="11" t="str">
        <x:v>Transcrever o design congelado em componentes</x:v>
      </x:c>
      <x:c r="D27" s="11" t="str">
        <x:v>Desenvolvimento</x:v>
      </x:c>
      <x:c r="E27" s="12" t="str">
        <x:v>Não iniciada</x:v>
      </x:c>
      <x:c r="F27" s="18" t="n">
        <x:v>1</x:v>
      </x:c>
      <x:c r="G27" s="17" t="n">
        <x:v>0</x:v>
      </x:c>
      <x:c r="H27" s="12" t="str"/>
      <x:c r="I27" s="11" t="str">
        <x:v>UX</x:v>
      </x:c>
      <x:c r="J27" s="11" t="str">
        <x:v>BK-003, BK-004, BK-012</x:v>
      </x:c>
      <x:c r="K27" s="11" t="str">
        <x:v>Q-01,Q-02,Q-18,F-13</x:v>
      </x:c>
      <x:c r="L27" s="11" t="str">
        <x:v>Todas as imagens; M-039,M-050; Fechamento vigente 13/09/2026, §5</x:v>
      </x:c>
      <x:c r="M27" s="11" t="n">
        <x:f>IF(AND(E27="Concluída",H27&lt;&gt;""),F27,0)</x:f>
        <x:v>0</x:v>
      </x:c>
      <x:c r="N27" s="11" t="n">
        <x:f>F27*G27</x:f>
        <x:v>0</x:v>
      </x:c>
    </x:row>
    <x:row r="28" ht="72" customHeight="1">
      <x:c r="A28" s="10" t="str">
        <x:v>BK-022</x:v>
      </x:c>
      <x:c r="B28" s="10" t="str">
        <x:v>01 Arquitetura e UX</x:v>
      </x:c>
      <x:c r="C28" s="10" t="str">
        <x:v>Especificar acessibilidade, telas pequenas e estados de exceção</x:v>
      </x:c>
      <x:c r="D28" s="10" t="str">
        <x:v>Desenvolvimento</x:v>
      </x:c>
      <x:c r="E28" s="12" t="str">
        <x:v>Não iniciada</x:v>
      </x:c>
      <x:c r="F28" s="18" t="n">
        <x:v>1</x:v>
      </x:c>
      <x:c r="G28" s="16" t="n">
        <x:v>0</x:v>
      </x:c>
      <x:c r="H28" s="12" t="str"/>
      <x:c r="I28" s="10" t="str">
        <x:v>UX + QA</x:v>
      </x:c>
      <x:c r="J28" s="10" t="str">
        <x:v>BK-021, BK-014</x:v>
      </x:c>
      <x:c r="K28" s="10" t="str">
        <x:v>Q-18,F-13</x:v>
      </x:c>
      <x:c r="L28" s="10" t="str">
        <x:v>Todas as imagens; gaps UX; Fechamento vigente 13/09/2026, §5</x:v>
      </x:c>
      <x:c r="M28" s="10" t="n">
        <x:f>IF(AND(E28="Concluída",H28&lt;&gt;""),F28,0)</x:f>
        <x:v>0</x:v>
      </x:c>
      <x:c r="N28" s="10" t="n">
        <x:f>F28*G28</x:f>
        <x:v>0</x:v>
      </x:c>
    </x:row>
    <x:row r="29" ht="72" customHeight="1">
      <x:c r="A29" s="11" t="str">
        <x:v>BK-023</x:v>
      </x:c>
      <x:c r="B29" s="11" t="str">
        <x:v>01 Arquitetura e UX</x:v>
      </x:c>
      <x:c r="C29" s="11" t="str">
        <x:v>Decidir a necessidade de Python e Streamlit</x:v>
      </x:c>
      <x:c r="D29" s="11" t="str">
        <x:v>Desenvolvimento</x:v>
      </x:c>
      <x:c r="E29" s="12" t="str">
        <x:v>Não iniciada</x:v>
      </x:c>
      <x:c r="F29" s="18" t="n">
        <x:v>1</x:v>
      </x:c>
      <x:c r="G29" s="17" t="n">
        <x:v>0</x:v>
      </x:c>
      <x:c r="H29" s="12" t="str"/>
      <x:c r="I29" s="11" t="str">
        <x:v>Arquitetura + Dados</x:v>
      </x:c>
      <x:c r="J29" s="11" t="str">
        <x:v>BK-017, BK-009, BK-010, BK-014</x:v>
      </x:c>
      <x:c r="K29" s="11" t="str"/>
      <x:c r="L29" s="11" t="str">
        <x:v>Sugestão permitida pelo usuário; proposta técnica</x:v>
      </x:c>
      <x:c r="M29" s="11" t="n">
        <x:f>IF(AND(E29="Concluída",H29&lt;&gt;""),F29,0)</x:f>
        <x:v>0</x:v>
      </x:c>
      <x:c r="N29" s="11" t="n">
        <x:f>F29*G29</x:f>
        <x:v>0</x:v>
      </x:c>
    </x:row>
    <x:row r="30" ht="72" customHeight="1">
      <x:c r="A30" s="10" t="str">
        <x:v>BK-024</x:v>
      </x:c>
      <x:c r="B30" s="10" t="str">
        <x:v>01 Arquitetura e UX</x:v>
      </x:c>
      <x:c r="C30" s="10" t="str">
        <x:v>Planejar segurança e proteção dos dados</x:v>
      </x:c>
      <x:c r="D30" s="10" t="str">
        <x:v>Desenvolvimento</x:v>
      </x:c>
      <x:c r="E30" s="12" t="str">
        <x:v>Em andamento</x:v>
      </x:c>
      <x:c r="F30" s="18" t="n">
        <x:v>1</x:v>
      </x:c>
      <x:c r="G30" s="16" t="n">
        <x:v>0.35</x:v>
      </x:c>
      <x:c r="H30" s="12" t="str">
        <x:v>ACL validada no Windows de desenvolvimento; faltam instalador com conta/credencial do worker e ensaio em VM. BK-024 parcial.</x:v>
      </x:c>
      <x:c r="I30" s="10" t="str">
        <x:v>Segurança + Arquitetura</x:v>
      </x:c>
      <x:c r="J30" s="10" t="str">
        <x:v>BK-013, BK-014, BK-019</x:v>
      </x:c>
      <x:c r="K30" s="10" t="str">
        <x:v>R-02</x:v>
      </x:c>
      <x:c r="L30" s="10" t="str">
        <x:v>M-058; Y_CEI_Tela_17; Consolidação 13/09/2026, §2</x:v>
      </x:c>
      <x:c r="M30" s="10" t="n">
        <x:f>IF(AND(E30="Concluída",H30&lt;&gt;""),F30,0)</x:f>
        <x:v>0</x:v>
      </x:c>
      <x:c r="N30" s="10" t="n">
        <x:f>F30*G30</x:f>
        <x:v>0.35</x:v>
      </x:c>
    </x:row>
    <x:row r="31" ht="72" customHeight="1">
      <x:c r="A31" s="11" t="str">
        <x:v>BK-025</x:v>
      </x:c>
      <x:c r="B31" s="11" t="str">
        <x:v>02 Fundação do projeto</x:v>
      </x:c>
      <x:c r="C31" s="11" t="str">
        <x:v>Preparar o repositório e as convenções do projeto</x:v>
      </x:c>
      <x:c r="D31" s="11" t="str">
        <x:v>Desenvolvimento</x:v>
      </x:c>
      <x:c r="E31" s="12" t="str">
        <x:v>Em andamento</x:v>
      </x:c>
      <x:c r="F31" s="18" t="n">
        <x:v>1</x:v>
      </x:c>
      <x:c r="G31" s="17" t="n">
        <x:v>0.7</x:v>
      </x:c>
      <x:c r="H31" s="12" t="str"/>
      <x:c r="I31" s="11" t="str">
        <x:v>Engenharia</x:v>
      </x:c>
      <x:c r="J31" s="11" t="str">
        <x:v>BK-002, BK-017, BK-015</x:v>
      </x:c>
      <x:c r="K31" s="11" t="str"/>
      <x:c r="L31" s="11" t="str">
        <x:v>GitHub vazio; BK arquitetura</x:v>
      </x:c>
      <x:c r="M31" s="11" t="n">
        <x:f>IF(AND(E31="Concluída",H31&lt;&gt;""),F31,0)</x:f>
        <x:v>0</x:v>
      </x:c>
      <x:c r="N31" s="11" t="n">
        <x:f>F31*G31</x:f>
        <x:v>0.7</x:v>
      </x:c>
    </x:row>
    <x:row r="32" ht="72" customHeight="1">
      <x:c r="A32" s="10" t="str">
        <x:v>BK-026</x:v>
      </x:c>
      <x:c r="B32" s="10" t="str">
        <x:v>02 Fundação do projeto</x:v>
      </x:c>
      <x:c r="C32" s="10" t="str">
        <x:v>Preparar o ambiente de desenvolvimento local</x:v>
      </x:c>
      <x:c r="D32" s="10" t="str">
        <x:v>Desenvolvimento</x:v>
      </x:c>
      <x:c r="E32" s="12" t="str">
        <x:v>Não iniciada</x:v>
      </x:c>
      <x:c r="F32" s="18" t="n">
        <x:v>1</x:v>
      </x:c>
      <x:c r="G32" s="16" t="n">
        <x:v>0</x:v>
      </x:c>
      <x:c r="H32" s="12" t="str"/>
      <x:c r="I32" s="10" t="str">
        <x:v>Engenharia</x:v>
      </x:c>
      <x:c r="J32" s="10" t="str">
        <x:v>BK-025, BK-018, BK-014</x:v>
      </x:c>
      <x:c r="K32" s="10" t="str"/>
      <x:c r="L32" s="10" t="str">
        <x:v>Necessidade técnica de entrega e operação.</x:v>
      </x:c>
      <x:c r="M32" s="10" t="n">
        <x:f>IF(AND(E32="Concluída",H32&lt;&gt;""),F32,0)</x:f>
        <x:v>0</x:v>
      </x:c>
      <x:c r="N32" s="10" t="n">
        <x:f>F32*G32</x:f>
        <x:v>0</x:v>
      </x:c>
    </x:row>
    <x:row r="33" ht="72" customHeight="1">
      <x:c r="A33" s="11" t="str">
        <x:v>BK-027</x:v>
      </x:c>
      <x:c r="B33" s="11" t="str">
        <x:v>02 Fundação do projeto</x:v>
      </x:c>
      <x:c r="C33" s="11" t="str">
        <x:v>Criar a fundação do backend Go</x:v>
      </x:c>
      <x:c r="D33" s="11" t="str">
        <x:v>Desenvolvimento</x:v>
      </x:c>
      <x:c r="E33" s="12" t="str">
        <x:v>Não iniciada</x:v>
      </x:c>
      <x:c r="F33" s="18" t="n">
        <x:v>1</x:v>
      </x:c>
      <x:c r="G33" s="17" t="n">
        <x:v>0</x:v>
      </x:c>
      <x:c r="H33" s="12" t="str"/>
      <x:c r="I33" s="11" t="str">
        <x:v>Engenharia</x:v>
      </x:c>
      <x:c r="J33" s="11" t="str">
        <x:v>BK-026, BK-017</x:v>
      </x:c>
      <x:c r="K33" s="11" t="str"/>
      <x:c r="L33" s="11" t="str">
        <x:v>Necessidade técnica de entrega e operação.</x:v>
      </x:c>
      <x:c r="M33" s="11" t="n">
        <x:f>IF(AND(E33="Concluída",H33&lt;&gt;""),F33,0)</x:f>
        <x:v>0</x:v>
      </x:c>
      <x:c r="N33" s="11" t="n">
        <x:f>F33*G33</x:f>
        <x:v>0</x:v>
      </x:c>
    </x:row>
    <x:row r="34" ht="72" customHeight="1">
      <x:c r="A34" s="10" t="str">
        <x:v>BK-028</x:v>
      </x:c>
      <x:c r="B34" s="10" t="str">
        <x:v>02 Fundação do projeto</x:v>
      </x:c>
      <x:c r="C34" s="10" t="str">
        <x:v>Criar a fundação do frontend React JS</x:v>
      </x:c>
      <x:c r="D34" s="10" t="str">
        <x:v>Desenvolvimento</x:v>
      </x:c>
      <x:c r="E34" s="12" t="str">
        <x:v>Não iniciada</x:v>
      </x:c>
      <x:c r="F34" s="18" t="n">
        <x:v>1</x:v>
      </x:c>
      <x:c r="G34" s="16" t="n">
        <x:v>0</x:v>
      </x:c>
      <x:c r="H34" s="12" t="str"/>
      <x:c r="I34" s="10" t="str">
        <x:v>Frontend</x:v>
      </x:c>
      <x:c r="J34" s="10" t="str">
        <x:v>BK-026, BK-021, BK-022, BK-019</x:v>
      </x:c>
      <x:c r="K34" s="10" t="str"/>
      <x:c r="L34" s="10" t="str">
        <x:v>Necessidade técnica de entrega e operação.</x:v>
      </x:c>
      <x:c r="M34" s="10" t="n">
        <x:f>IF(AND(E34="Concluída",H34&lt;&gt;""),F34,0)</x:f>
        <x:v>0</x:v>
      </x:c>
      <x:c r="N34" s="10" t="n">
        <x:f>F34*G34</x:f>
        <x:v>0</x:v>
      </x:c>
    </x:row>
    <x:row r="35" ht="72" customHeight="1">
      <x:c r="A35" s="11" t="str">
        <x:v>BK-029</x:v>
      </x:c>
      <x:c r="B35" s="11" t="str">
        <x:v>02 Fundação do projeto</x:v>
      </x:c>
      <x:c r="C35" s="11" t="str">
        <x:v>Criar o esquema inicial e o controle de migrações</x:v>
      </x:c>
      <x:c r="D35" s="11" t="str">
        <x:v>Desenvolvimento</x:v>
      </x:c>
      <x:c r="E35" s="12" t="str">
        <x:v>Não iniciada</x:v>
      </x:c>
      <x:c r="F35" s="18" t="n">
        <x:v>1</x:v>
      </x:c>
      <x:c r="G35" s="17" t="n">
        <x:v>0</x:v>
      </x:c>
      <x:c r="H35" s="12" t="str"/>
      <x:c r="I35" s="11" t="str">
        <x:v>Engenharia</x:v>
      </x:c>
      <x:c r="J35" s="11" t="str">
        <x:v>BK-018, BK-027</x:v>
      </x:c>
      <x:c r="K35" s="11" t="str"/>
      <x:c r="L35" s="11" t="str">
        <x:v>Necessidade técnica de entrega e operação.</x:v>
      </x:c>
      <x:c r="M35" s="11" t="n">
        <x:f>IF(AND(E35="Concluída",H35&lt;&gt;""),F35,0)</x:f>
        <x:v>0</x:v>
      </x:c>
      <x:c r="N35" s="11" t="n">
        <x:f>F35*G35</x:f>
        <x:v>0</x:v>
      </x:c>
    </x:row>
    <x:row r="36" ht="72" customHeight="1">
      <x:c r="A36" s="10" t="str">
        <x:v>BK-030</x:v>
      </x:c>
      <x:c r="B36" s="10" t="str">
        <x:v>02 Fundação do projeto</x:v>
      </x:c>
      <x:c r="C36" s="10" t="str">
        <x:v>Configurar verificações automáticas do projeto</x:v>
      </x:c>
      <x:c r="D36" s="10" t="str">
        <x:v>Desenvolvimento</x:v>
      </x:c>
      <x:c r="E36" s="12" t="str">
        <x:v>Concluída</x:v>
      </x:c>
      <x:c r="F36" s="18" t="n">
        <x:v>1</x:v>
      </x:c>
      <x:c r="G36" s="16" t="n">
        <x:v>1</x:v>
      </x:c>
      <x:c r="H36" s="12" t="str">
        <x:v>A CI 38115370056 comprovou o fluxo de sucesso das verificações, build e publicação condicionada; evidência e escopo estão descritos nesta tarefa.</x:v>
      </x:c>
      <x:c r="I36" s="10" t="str">
        <x:v>Engenharia + Infraestrutura</x:v>
      </x:c>
      <x:c r="J36" s="10" t="str">
        <x:v>BK-027, BK-028</x:v>
      </x:c>
      <x:c r="K36" s="10" t="str"/>
      <x:c r="L36" s="10" t="str">
        <x:v>Repositório público; recomendação GitHub Actions</x:v>
      </x:c>
      <x:c r="M36" s="10" t="n">
        <x:f>IF(AND(E36="Concluída",H36&lt;&gt;""),F36,0)</x:f>
        <x:v>1</x:v>
      </x:c>
      <x:c r="N36" s="10" t="n">
        <x:f>F36*G36</x:f>
        <x:v>1</x:v>
      </x:c>
    </x:row>
    <x:row r="37" ht="72" customHeight="1">
      <x:c r="A37" s="11" t="str">
        <x:v>BK-031</x:v>
      </x:c>
      <x:c r="B37" s="11" t="str">
        <x:v>02 Fundação do projeto</x:v>
      </x:c>
      <x:c r="C37" s="11" t="str">
        <x:v>Criar logs e rastreio técnico básicos</x:v>
      </x:c>
      <x:c r="D37" s="11" t="str">
        <x:v>Desenvolvimento</x:v>
      </x:c>
      <x:c r="E37" s="12" t="str">
        <x:v>Em andamento</x:v>
      </x:c>
      <x:c r="F37" s="18" t="n">
        <x:v>1</x:v>
      </x:c>
      <x:c r="G37" s="17" t="n">
        <x:v>0.85</x:v>
      </x:c>
      <x:c r="H37" s="12" t="str">
        <x:v>e4e76cb: referência de erro ligada ao request_id do log; CI 38169879308 passou nos 4 jobs. Pendente conferência visual e ACL dos logs em instalação/VM.</x:v>
      </x:c>
      <x:c r="I37" s="11" t="str">
        <x:v>Engenharia</x:v>
      </x:c>
      <x:c r="J37" s="11" t="str">
        <x:v>BK-027, BK-024</x:v>
      </x:c>
      <x:c r="K37" s="11" t="str"/>
      <x:c r="L37" s="11" t="str">
        <x:v>Necessidade técnica de entrega e operação.</x:v>
      </x:c>
      <x:c r="M37" s="11" t="n">
        <x:f>IF(AND(E37="Concluída",H37&lt;&gt;""),F37,0)</x:f>
        <x:v>0</x:v>
      </x:c>
      <x:c r="N37" s="11" t="n">
        <x:f>F37*G37</x:f>
        <x:v>0.85</x:v>
      </x:c>
    </x:row>
    <x:row r="38" ht="72" customHeight="1">
      <x:c r="A38" s="10" t="str">
        <x:v>BK-032</x:v>
      </x:c>
      <x:c r="B38" s="10" t="str">
        <x:v>03 Identidade e configurações</x:v>
      </x:c>
      <x:c r="C38" s="10" t="str">
        <x:v>Implementar autenticação e administração inicial</x:v>
      </x:c>
      <x:c r="D38" s="10" t="str">
        <x:v>Desenvolvimento</x:v>
      </x:c>
      <x:c r="E38" s="12" t="str">
        <x:v>Não iniciada</x:v>
      </x:c>
      <x:c r="F38" s="18" t="n">
        <x:v>1</x:v>
      </x:c>
      <x:c r="G38" s="16" t="n">
        <x:v>0</x:v>
      </x:c>
      <x:c r="H38" s="12" t="str"/>
      <x:c r="I38" s="10" t="str">
        <x:v>Engenharia</x:v>
      </x:c>
      <x:c r="J38" s="10" t="str">
        <x:v>BK-013, BK-029, BK-028, BK-024</x:v>
      </x:c>
      <x:c r="K38" s="10" t="str">
        <x:v>F-15</x:v>
      </x:c>
      <x:c r="L38" s="10" t="str">
        <x:v>L-26; Y_CEI_Tela_17</x:v>
      </x:c>
      <x:c r="M38" s="10" t="n">
        <x:f>IF(AND(E38="Concluída",H38&lt;&gt;""),F38,0)</x:f>
        <x:v>0</x:v>
      </x:c>
      <x:c r="N38" s="10" t="n">
        <x:f>F38*G38</x:f>
        <x:v>0</x:v>
      </x:c>
    </x:row>
    <x:row r="39" ht="72" customHeight="1">
      <x:c r="A39" s="11" t="str">
        <x:v>BK-033</x:v>
      </x:c>
      <x:c r="B39" s="11" t="str">
        <x:v>03 Identidade e configurações</x:v>
      </x:c>
      <x:c r="C39" s="11" t="str">
        <x:v>Aplicar permissões no backend e na interface</x:v>
      </x:c>
      <x:c r="D39" s="11" t="str">
        <x:v>Desenvolvimento</x:v>
      </x:c>
      <x:c r="E39" s="12" t="str">
        <x:v>Não iniciada</x:v>
      </x:c>
      <x:c r="F39" s="18" t="n">
        <x:v>1</x:v>
      </x:c>
      <x:c r="G39" s="17" t="n">
        <x:v>0</x:v>
      </x:c>
      <x:c r="H39" s="12" t="str"/>
      <x:c r="I39" s="11" t="str">
        <x:v>Engenharia</x:v>
      </x:c>
      <x:c r="J39" s="11" t="str">
        <x:v>BK-032, BK-019</x:v>
      </x:c>
      <x:c r="K39" s="11" t="str">
        <x:v>F-15</x:v>
      </x:c>
      <x:c r="L39" s="11" t="str">
        <x:v>M-057,M-058; H_Contrato_Dados!A38:H38; Fechamento vigente 13/09/2026, §6</x:v>
      </x:c>
      <x:c r="M39" s="11" t="n">
        <x:f>IF(AND(E39="Concluída",H39&lt;&gt;""),F39,0)</x:f>
        <x:v>0</x:v>
      </x:c>
      <x:c r="N39" s="11" t="n">
        <x:f>F39*G39</x:f>
        <x:v>0</x:v>
      </x:c>
    </x:row>
    <x:row r="40" ht="72" customHeight="1">
      <x:c r="A40" s="10" t="str">
        <x:v>BK-034</x:v>
      </x:c>
      <x:c r="B40" s="10" t="str">
        <x:v>03 Identidade e configurações</x:v>
      </x:c>
      <x:c r="C40" s="10" t="str">
        <x:v>Registrar auditoria de acesso e mudanças</x:v>
      </x:c>
      <x:c r="D40" s="10" t="str">
        <x:v>Desenvolvimento</x:v>
      </x:c>
      <x:c r="E40" s="12" t="str">
        <x:v>Não iniciada</x:v>
      </x:c>
      <x:c r="F40" s="18" t="n">
        <x:v>1</x:v>
      </x:c>
      <x:c r="G40" s="16" t="n">
        <x:v>0</x:v>
      </x:c>
      <x:c r="H40" s="12" t="str"/>
      <x:c r="I40" s="10" t="str">
        <x:v>Engenharia</x:v>
      </x:c>
      <x:c r="J40" s="10" t="str">
        <x:v>BK-033, BK-031</x:v>
      </x:c>
      <x:c r="K40" s="10" t="str">
        <x:v>F-16</x:v>
      </x:c>
      <x:c r="L40" s="10" t="str">
        <x:v>H_Contrato_Dados!A39:H39; Fechamento vigente 13/09/2026, §6.8</x:v>
      </x:c>
      <x:c r="M40" s="10" t="n">
        <x:f>IF(AND(E40="Concluída",H40&lt;&gt;""),F40,0)</x:f>
        <x:v>0</x:v>
      </x:c>
      <x:c r="N40" s="10" t="n">
        <x:f>F40*G40</x:f>
        <x:v>0</x:v>
      </x:c>
    </x:row>
    <x:row r="41" ht="72" customHeight="1">
      <x:c r="A41" s="11" t="str">
        <x:v>BK-035</x:v>
      </x:c>
      <x:c r="B41" s="11" t="str">
        <x:v>03 Identidade e configurações</x:v>
      </x:c>
      <x:c r="C41" s="11" t="str">
        <x:v>Implementar T17 Usuários e o ciclo de vida das contas</x:v>
      </x:c>
      <x:c r="D41" s="11" t="str">
        <x:v>Desenvolvimento</x:v>
      </x:c>
      <x:c r="E41" s="12" t="str">
        <x:v>Não iniciada</x:v>
      </x:c>
      <x:c r="F41" s="18" t="n">
        <x:v>1</x:v>
      </x:c>
      <x:c r="G41" s="17" t="n">
        <x:v>0</x:v>
      </x:c>
      <x:c r="H41" s="12" t="str"/>
      <x:c r="I41" s="11" t="str">
        <x:v>Engenharia</x:v>
      </x:c>
      <x:c r="J41" s="11" t="str">
        <x:v>BK-033, BK-034, BK-022</x:v>
      </x:c>
      <x:c r="K41" s="11" t="str">
        <x:v>F-15</x:v>
      </x:c>
      <x:c r="L41" s="11" t="str">
        <x:v>T17; Y_CEI_Tela_17; T-CEI17-01..08</x:v>
      </x:c>
      <x:c r="M41" s="11" t="n">
        <x:f>IF(AND(E41="Concluída",H41&lt;&gt;""),F41,0)</x:f>
        <x:v>0</x:v>
      </x:c>
      <x:c r="N41" s="11" t="n">
        <x:f>F41*G41</x:f>
        <x:v>0</x:v>
      </x:c>
    </x:row>
    <x:row r="42" ht="72" customHeight="1">
      <x:c r="A42" s="10" t="str">
        <x:v>BK-036</x:v>
      </x:c>
      <x:c r="B42" s="10" t="str">
        <x:v>03 Identidade e configurações</x:v>
      </x:c>
      <x:c r="C42" s="10" t="str">
        <x:v>Implementar registro e vigência dos parâmetros</x:v>
      </x:c>
      <x:c r="D42" s="10" t="str">
        <x:v>Desenvolvimento</x:v>
      </x:c>
      <x:c r="E42" s="12" t="str">
        <x:v>Não iniciada</x:v>
      </x:c>
      <x:c r="F42" s="18" t="n">
        <x:v>1</x:v>
      </x:c>
      <x:c r="G42" s="16" t="n">
        <x:v>0</x:v>
      </x:c>
      <x:c r="H42" s="12" t="str"/>
      <x:c r="I42" s="10" t="str">
        <x:v>Engenharia</x:v>
      </x:c>
      <x:c r="J42" s="10" t="str">
        <x:v>BK-018, BK-033, BK-034</x:v>
      </x:c>
      <x:c r="K42" s="10" t="str">
        <x:v>F-16</x:v>
      </x:c>
      <x:c r="L42" s="10" t="str">
        <x:v>M-056; H_Contrato_Dados!A34:H35; Fechamento vigente 13/09/2026, §6.3–6.7</x:v>
      </x:c>
      <x:c r="M42" s="10" t="n">
        <x:f>IF(AND(E42="Concluída",H42&lt;&gt;""),F42,0)</x:f>
        <x:v>0</x:v>
      </x:c>
      <x:c r="N42" s="10" t="n">
        <x:f>F42*G42</x:f>
        <x:v>0</x:v>
      </x:c>
    </x:row>
    <x:row r="43" ht="72" customHeight="1">
      <x:c r="A43" s="11" t="str">
        <x:v>BK-037</x:v>
      </x:c>
      <x:c r="B43" s="11" t="str">
        <x:v>03 Identidade e configurações</x:v>
      </x:c>
      <x:c r="C43" s="11" t="str">
        <x:v>Implementar T16 Parâmetros e fluxos autorizados de edição</x:v>
      </x:c>
      <x:c r="D43" s="11" t="str">
        <x:v>Desenvolvimento</x:v>
      </x:c>
      <x:c r="E43" s="12" t="str">
        <x:v>Não iniciada</x:v>
      </x:c>
      <x:c r="F43" s="18" t="n">
        <x:v>1</x:v>
      </x:c>
      <x:c r="G43" s="17" t="n">
        <x:v>0</x:v>
      </x:c>
      <x:c r="H43" s="12" t="str"/>
      <x:c r="I43" s="11" t="str">
        <x:v>Engenharia</x:v>
      </x:c>
      <x:c r="J43" s="11" t="str">
        <x:v>BK-036, BK-021</x:v>
      </x:c>
      <x:c r="K43" s="11" t="str">
        <x:v>F-16</x:v>
      </x:c>
      <x:c r="L43" s="11" t="str">
        <x:v>T16; W_CEI_Tela_16; T-CEI16-01..08; Consolidação 13/09/2026, §§1,4–5; Fechamento vigente 13/09/2026, §6</x:v>
      </x:c>
      <x:c r="M43" s="11" t="n">
        <x:f>IF(AND(E43="Concluída",H43&lt;&gt;""),F43,0)</x:f>
        <x:v>0</x:v>
      </x:c>
      <x:c r="N43" s="11" t="n">
        <x:f>F43*G43</x:f>
        <x:v>0</x:v>
      </x:c>
    </x:row>
    <x:row r="44" ht="72" customHeight="1">
      <x:c r="A44" s="10" t="str">
        <x:v>BK-038</x:v>
      </x:c>
      <x:c r="B44" s="10" t="str">
        <x:v>04 Dados e integrações</x:v>
      </x:c>
      <x:c r="C44" s="10" t="str">
        <x:v>Implementar proveniência e snapshots de fatos</x:v>
      </x:c>
      <x:c r="D44" s="10" t="str">
        <x:v>Desenvolvimento</x:v>
      </x:c>
      <x:c r="E44" s="12" t="str">
        <x:v>Não iniciada</x:v>
      </x:c>
      <x:c r="F44" s="18" t="n">
        <x:v>1</x:v>
      </x:c>
      <x:c r="G44" s="16" t="n">
        <x:v>0</x:v>
      </x:c>
      <x:c r="H44" s="12" t="str"/>
      <x:c r="I44" s="10" t="str">
        <x:v>Engenharia</x:v>
      </x:c>
      <x:c r="J44" s="10" t="str">
        <x:v>BK-020, BK-029, BK-034</x:v>
      </x:c>
      <x:c r="K44" s="10" t="str">
        <x:v>R-02,F-16,F-20</x:v>
      </x:c>
      <x:c r="L44" s="10" t="str">
        <x:v>M-037; H_Contrato_Dados!A3:H3; Consolidação 13/09/2026, §2; Fechamento vigente 13/09/2026, §6.6–6.8</x:v>
      </x:c>
      <x:c r="M44" s="10" t="n">
        <x:f>IF(AND(E44="Concluída",H44&lt;&gt;""),F44,0)</x:f>
        <x:v>0</x:v>
      </x:c>
      <x:c r="N44" s="10" t="n">
        <x:f>F44*G44</x:f>
        <x:v>0</x:v>
      </x:c>
    </x:row>
    <x:row r="45" ht="72" customHeight="1">
      <x:c r="A45" s="11" t="str">
        <x:v>BK-039</x:v>
      </x:c>
      <x:c r="B45" s="11" t="str">
        <x:v>04 Dados e integrações</x:v>
      </x:c>
      <x:c r="C45" s="11" t="str">
        <x:v>Implementar execução controlada de trabalhos em segundo plano</x:v>
      </x:c>
      <x:c r="D45" s="11" t="str">
        <x:v>Desenvolvimento</x:v>
      </x:c>
      <x:c r="E45" s="12" t="str">
        <x:v>Não iniciada</x:v>
      </x:c>
      <x:c r="F45" s="18" t="n">
        <x:v>1</x:v>
      </x:c>
      <x:c r="G45" s="17" t="n">
        <x:v>0</x:v>
      </x:c>
      <x:c r="H45" s="12" t="str"/>
      <x:c r="I45" s="11" t="str">
        <x:v>Engenharia</x:v>
      </x:c>
      <x:c r="J45" s="11" t="str">
        <x:v>BK-027, BK-029, BK-031</x:v>
      </x:c>
      <x:c r="K45" s="11" t="str">
        <x:v>F-19</x:v>
      </x:c>
      <x:c r="L45" s="11" t="str">
        <x:v>U_CEI_Tela_15; Fechamento vigente 13/09/2026, §8.11</x:v>
      </x:c>
      <x:c r="M45" s="11" t="n">
        <x:f>IF(AND(E45="Concluída",H45&lt;&gt;""),F45,0)</x:f>
        <x:v>0</x:v>
      </x:c>
      <x:c r="N45" s="11" t="n">
        <x:f>F45*G45</x:f>
        <x:v>0</x:v>
      </x:c>
    </x:row>
    <x:row r="46" ht="72" customHeight="1">
      <x:c r="A46" s="10" t="str">
        <x:v>BK-040</x:v>
      </x:c>
      <x:c r="B46" s="10" t="str">
        <x:v>04 Dados e integrações</x:v>
      </x:c>
      <x:c r="C46" s="10" t="str">
        <x:v>Validar acesso e cobertura dos dados do Bling</x:v>
      </x:c>
      <x:c r="D46" s="10" t="str">
        <x:v>Desenvolvimento</x:v>
      </x:c>
      <x:c r="E46" s="12" t="str">
        <x:v>Não iniciada</x:v>
      </x:c>
      <x:c r="F46" s="18" t="n">
        <x:v>1</x:v>
      </x:c>
      <x:c r="G46" s="16" t="n">
        <x:v>0</x:v>
      </x:c>
      <x:c r="H46" s="12" t="str"/>
      <x:c r="I46" s="10" t="str">
        <x:v>Engenharia</x:v>
      </x:c>
      <x:c r="J46" s="10" t="str">
        <x:v>BK-010, BK-014, BK-024</x:v>
      </x:c>
      <x:c r="K46" s="10" t="str">
        <x:v>R-03,R-04,HT-01,HT-02,HT-03,HT-04,HT-05,HT-06,HT-07,HT-08,F-02,F-03</x:v>
      </x:c>
      <x:c r="L46" s="10" t="str">
        <x:v>Bling documentação oficial; H_Contrato_Dados; Consolidação 13/09/2026, §§3–9; pendências 1–8; Fechamento vigente 13/09/2026, §§2,8</x:v>
      </x:c>
      <x:c r="M46" s="10" t="n">
        <x:f>IF(AND(E46="Concluída",H46&lt;&gt;""),F46,0)</x:f>
        <x:v>0</x:v>
      </x:c>
      <x:c r="N46" s="10" t="n">
        <x:f>F46*G46</x:f>
        <x:v>0</x:v>
      </x:c>
    </x:row>
    <x:row r="47" ht="72" customHeight="1">
      <x:c r="A47" s="11" t="str">
        <x:v>BK-041</x:v>
      </x:c>
      <x:c r="B47" s="11" t="str">
        <x:v>04 Dados e integrações</x:v>
      </x:c>
      <x:c r="C47" s="11" t="str">
        <x:v>Implementar o adaptador de leitura do Bling</x:v>
      </x:c>
      <x:c r="D47" s="11" t="str">
        <x:v>Desenvolvimento</x:v>
      </x:c>
      <x:c r="E47" s="12" t="str">
        <x:v>Em andamento</x:v>
      </x:c>
      <x:c r="F47" s="18" t="n">
        <x:v>1</x:v>
      </x:c>
      <x:c r="G47" s="17" t="n">
        <x:v>0.65</x:v>
      </x:c>
      <x:c r="H47" s="12" t="str">
        <x:v>65% — cabeçalho JWT enable-jwt:1 em OAuth e chamadas autenticadas; filtros de situação por rota e falha segura quando a última página é desconhecida. CI 38172628938 passou. Resposta real e cursor seguem sem homologação; evidências em docs/evidence/BLING-JWT-MIGRATION-2026-10-11.md e BLING-PAGINATION-CONTRACT-2026-10-11.md.</x:v>
      </x:c>
      <x:c r="I47" s="11" t="str">
        <x:v>Engenharia</x:v>
      </x:c>
      <x:c r="J47" s="11" t="str">
        <x:v>BK-040, BK-039, BK-038</x:v>
      </x:c>
      <x:c r="K47" s="11" t="str">
        <x:v>R-04</x:v>
      </x:c>
      <x:c r="L47" s="11" t="str">
        <x:v>M-003,M-035; documentação Bling; Consolidação 13/09/2026, §§4,8–9; Fechamento vigente 13/09/2026, §2</x:v>
      </x:c>
      <x:c r="M47" s="11" t="n">
        <x:f>IF(AND(E47="Concluída",H47&lt;&gt;""),F47,0)</x:f>
        <x:v>0</x:v>
      </x:c>
      <x:c r="N47" s="11" t="n">
        <x:f>F47*G47</x:f>
        <x:v>0.65</x:v>
      </x:c>
    </x:row>
    <x:row r="48" ht="72" customHeight="1">
      <x:c r="A48" s="10" t="str">
        <x:v>BK-042</x:v>
      </x:c>
      <x:c r="B48" s="10" t="str">
        <x:v>04 Dados e integrações</x:v>
      </x:c>
      <x:c r="C48" s="10" t="str">
        <x:v>Implementar leitura das três estruturas autorizadas do Google Drive</x:v>
      </x:c>
      <x:c r="D48" s="10" t="str">
        <x:v>Desenvolvimento</x:v>
      </x:c>
      <x:c r="E48" s="12" t="str">
        <x:v>Não iniciada</x:v>
      </x:c>
      <x:c r="F48" s="18" t="n">
        <x:v>1</x:v>
      </x:c>
      <x:c r="G48" s="16" t="n">
        <x:v>0</x:v>
      </x:c>
      <x:c r="H48" s="12" t="str"/>
      <x:c r="I48" s="10" t="str">
        <x:v>Engenharia</x:v>
      </x:c>
      <x:c r="J48" s="10" t="str">
        <x:v>BK-010, BK-039, BK-038, BK-024</x:v>
      </x:c>
      <x:c r="K48" s="10" t="str">
        <x:v>R-01,R-02</x:v>
      </x:c>
      <x:c r="L48" s="10" t="str">
        <x:v>M-009,M-010; L-11,L-12; Consolidação 13/09/2026, §§1–2</x:v>
      </x:c>
      <x:c r="M48" s="10" t="n">
        <x:f>IF(AND(E48="Concluída",H48&lt;&gt;""),F48,0)</x:f>
        <x:v>0</x:v>
      </x:c>
      <x:c r="N48" s="10" t="n">
        <x:f>F48*G48</x:f>
        <x:v>0</x:v>
      </x:c>
    </x:row>
    <x:row r="49" ht="72" customHeight="1">
      <x:c r="A49" s="11" t="str">
        <x:v>BK-043</x:v>
      </x:c>
      <x:c r="B49" s="11" t="str">
        <x:v>04 Dados e integrações</x:v>
      </x:c>
      <x:c r="C49" s="11" t="str">
        <x:v>Implementar validação e interpretação dos arquivos</x:v>
      </x:c>
      <x:c r="D49" s="11" t="str">
        <x:v>Desenvolvimento</x:v>
      </x:c>
      <x:c r="E49" s="12" t="str">
        <x:v>Não iniciada</x:v>
      </x:c>
      <x:c r="F49" s="18" t="n">
        <x:v>1</x:v>
      </x:c>
      <x:c r="G49" s="17" t="n">
        <x:v>0</x:v>
      </x:c>
      <x:c r="H49" s="12" t="str"/>
      <x:c r="I49" s="11" t="str">
        <x:v>Engenharia</x:v>
      </x:c>
      <x:c r="J49" s="11" t="str">
        <x:v>BK-042</x:v>
      </x:c>
      <x:c r="K49" s="11" t="str"/>
      <x:c r="L49" s="11" t="str">
        <x:v>H_Contrato_Dados; T-FILE-*; Consolidação 13/09/2026, §§1–2,4</x:v>
      </x:c>
      <x:c r="M49" s="11" t="n">
        <x:f>IF(AND(E49="Concluída",H49&lt;&gt;""),F49,0)</x:f>
        <x:v>0</x:v>
      </x:c>
      <x:c r="N49" s="11" t="n">
        <x:f>F49*G49</x:f>
        <x:v>0</x:v>
      </x:c>
    </x:row>
    <x:row r="50" ht="72" customHeight="1">
      <x:c r="A50" s="10" t="str">
        <x:v>BK-044</x:v>
      </x:c>
      <x:c r="B50" s="10" t="str">
        <x:v>04 Dados e integrações</x:v>
      </x:c>
      <x:c r="C50" s="10" t="str">
        <x:v>Deduplicar arquivos e fatos de negócio</x:v>
      </x:c>
      <x:c r="D50" s="10" t="str">
        <x:v>Desenvolvimento</x:v>
      </x:c>
      <x:c r="E50" s="12" t="str">
        <x:v>Não iniciada</x:v>
      </x:c>
      <x:c r="F50" s="18" t="n">
        <x:v>1</x:v>
      </x:c>
      <x:c r="G50" s="16" t="n">
        <x:v>0</x:v>
      </x:c>
      <x:c r="H50" s="12" t="str"/>
      <x:c r="I50" s="10" t="str">
        <x:v>Engenharia</x:v>
      </x:c>
      <x:c r="J50" s="10" t="str">
        <x:v>BK-043, BK-041, BK-018</x:v>
      </x:c>
      <x:c r="K50" s="10" t="str">
        <x:v>R-02,F-20</x:v>
      </x:c>
      <x:c r="L50" s="10" t="str">
        <x:v>M-038; T-IDEMP-*; Consolidação 13/09/2026, §2</x:v>
      </x:c>
      <x:c r="M50" s="10" t="n">
        <x:f>IF(AND(E50="Concluída",H50&lt;&gt;""),F50,0)</x:f>
        <x:v>0</x:v>
      </x:c>
      <x:c r="N50" s="10" t="n">
        <x:f>F50*G50</x:f>
        <x:v>0</x:v>
      </x:c>
    </x:row>
    <x:row r="51" ht="72" customHeight="1">
      <x:c r="A51" s="11" t="str">
        <x:v>BK-045</x:v>
      </x:c>
      <x:c r="B51" s="11" t="str">
        <x:v>04 Dados e integrações</x:v>
      </x:c>
      <x:c r="C51" s="11" t="str">
        <x:v>Ingerir produtos, clientes e vendas realizadas</x:v>
      </x:c>
      <x:c r="D51" s="11" t="str">
        <x:v>Desenvolvimento</x:v>
      </x:c>
      <x:c r="E51" s="12" t="str">
        <x:v>Não iniciada</x:v>
      </x:c>
      <x:c r="F51" s="18" t="n">
        <x:v>1</x:v>
      </x:c>
      <x:c r="G51" s="17" t="n">
        <x:v>0</x:v>
      </x:c>
      <x:c r="H51" s="12" t="str"/>
      <x:c r="I51" s="11" t="str">
        <x:v>Engenharia</x:v>
      </x:c>
      <x:c r="J51" s="11" t="str">
        <x:v>BK-044, BK-040</x:v>
      </x:c>
      <x:c r="K51" s="11" t="str"/>
      <x:c r="L51" s="11" t="str">
        <x:v>M-003; H_Contrato_Dados!A4:H4</x:v>
      </x:c>
      <x:c r="M51" s="11" t="n">
        <x:f>IF(AND(E51="Concluída",H51&lt;&gt;""),F51,0)</x:f>
        <x:v>0</x:v>
      </x:c>
      <x:c r="N51" s="11" t="n">
        <x:f>F51*G51</x:f>
        <x:v>0</x:v>
      </x:c>
    </x:row>
    <x:row r="52" ht="72" customHeight="1">
      <x:c r="A52" s="10" t="str">
        <x:v>BK-046</x:v>
      </x:c>
      <x:c r="B52" s="10" t="str">
        <x:v>04 Dados e integrações</x:v>
      </x:c>
      <x:c r="C52" s="10" t="str">
        <x:v>Ingerir recebíveis e eventos do Nuvem Pago</x:v>
      </x:c>
      <x:c r="D52" s="10" t="str">
        <x:v>Desenvolvimento</x:v>
      </x:c>
      <x:c r="E52" s="12" t="str">
        <x:v>Não iniciada</x:v>
      </x:c>
      <x:c r="F52" s="18" t="n">
        <x:v>1</x:v>
      </x:c>
      <x:c r="G52" s="16" t="n">
        <x:v>0</x:v>
      </x:c>
      <x:c r="H52" s="12" t="str"/>
      <x:c r="I52" s="10" t="str">
        <x:v>Engenharia</x:v>
      </x:c>
      <x:c r="J52" s="10" t="str">
        <x:v>BK-044, BK-045</x:v>
      </x:c>
      <x:c r="K52" s="10" t="str">
        <x:v>R-10,HT-08,F-18</x:v>
      </x:c>
      <x:c r="L52" s="10" t="str">
        <x:v>M-004,M-005,M-011,M-012; H_Contrato_Dados!A5:H6; Consolidação 13/09/2026, §10; Fechamento vigente 13/09/2026, §8.2,8.5,8.11</x:v>
      </x:c>
      <x:c r="M52" s="10" t="n">
        <x:f>IF(AND(E52="Concluída",H52&lt;&gt;""),F52,0)</x:f>
        <x:v>0</x:v>
      </x:c>
      <x:c r="N52" s="10" t="n">
        <x:f>F52*G52</x:f>
        <x:v>0</x:v>
      </x:c>
    </x:row>
    <x:row r="53" ht="72" customHeight="1">
      <x:c r="A53" s="11" t="str">
        <x:v>BK-047</x:v>
      </x:c>
      <x:c r="B53" s="11" t="str">
        <x:v>04 Dados e integrações</x:v>
      </x:c>
      <x:c r="C53" s="11" t="str">
        <x:v>Ingerir obrigações e movimentos financeiros</x:v>
      </x:c>
      <x:c r="D53" s="11" t="str">
        <x:v>Desenvolvimento</x:v>
      </x:c>
      <x:c r="E53" s="12" t="str">
        <x:v>Não iniciada</x:v>
      </x:c>
      <x:c r="F53" s="18" t="n">
        <x:v>1</x:v>
      </x:c>
      <x:c r="G53" s="17" t="n">
        <x:v>0</x:v>
      </x:c>
      <x:c r="H53" s="12" t="str"/>
      <x:c r="I53" s="11" t="str">
        <x:v>Engenharia</x:v>
      </x:c>
      <x:c r="J53" s="11" t="str">
        <x:v>BK-044, BK-005</x:v>
      </x:c>
      <x:c r="K53" s="11" t="str">
        <x:v>R-08,R-09</x:v>
      </x:c>
      <x:c r="L53" s="11" t="str">
        <x:v>M-006,M-007; T04; Consolidação 13/09/2026, §§8–10</x:v>
      </x:c>
      <x:c r="M53" s="11" t="n">
        <x:f>IF(AND(E53="Concluída",H53&lt;&gt;""),F53,0)</x:f>
        <x:v>0</x:v>
      </x:c>
      <x:c r="N53" s="11" t="n">
        <x:f>F53*G53</x:f>
        <x:v>0</x:v>
      </x:c>
    </x:row>
    <x:row r="54" ht="72" customHeight="1">
      <x:c r="A54" s="10" t="str">
        <x:v>BK-048</x:v>
      </x:c>
      <x:c r="B54" s="10" t="str">
        <x:v>04 Dados e integrações</x:v>
      </x:c>
      <x:c r="C54" s="10" t="str">
        <x:v>Ingerir estoque, produção, compras e notas de entrada</x:v>
      </x:c>
      <x:c r="D54" s="10" t="str">
        <x:v>Desenvolvimento</x:v>
      </x:c>
      <x:c r="E54" s="12" t="str">
        <x:v>Não iniciada</x:v>
      </x:c>
      <x:c r="F54" s="18" t="n">
        <x:v>1</x:v>
      </x:c>
      <x:c r="G54" s="16" t="n">
        <x:v>0</x:v>
      </x:c>
      <x:c r="H54" s="12" t="str"/>
      <x:c r="I54" s="10" t="str">
        <x:v>Engenharia</x:v>
      </x:c>
      <x:c r="J54" s="10" t="str">
        <x:v>BK-044, BK-040</x:v>
      </x:c>
      <x:c r="K54" s="10" t="str">
        <x:v>R-03,HT-03,HT-07</x:v>
      </x:c>
      <x:c r="L54" s="10" t="str">
        <x:v>M-035; H_Contrato_Dados!A11:H14,A19:H20; Consolidação 13/09/2026, §3; pendência 7</x:v>
      </x:c>
      <x:c r="M54" s="10" t="n">
        <x:f>IF(AND(E54="Concluída",H54&lt;&gt;""),F54,0)</x:f>
        <x:v>0</x:v>
      </x:c>
      <x:c r="N54" s="10" t="n">
        <x:f>F54*G54</x:f>
        <x:v>0</x:v>
      </x:c>
    </x:row>
    <x:row r="55" ht="72" customHeight="1">
      <x:c r="A55" s="11" t="str">
        <x:v>BK-049</x:v>
      </x:c>
      <x:c r="B55" s="11" t="str">
        <x:v>04 Dados e integrações</x:v>
      </x:c>
      <x:c r="C55" s="11" t="str">
        <x:v>Ingerir etiquetas, faturas e frete da nota fiscal</x:v>
      </x:c>
      <x:c r="D55" s="11" t="str">
        <x:v>Desenvolvimento</x:v>
      </x:c>
      <x:c r="E55" s="12" t="str">
        <x:v>Não iniciada</x:v>
      </x:c>
      <x:c r="F55" s="18" t="n">
        <x:v>1</x:v>
      </x:c>
      <x:c r="G55" s="17" t="n">
        <x:v>0</x:v>
      </x:c>
      <x:c r="H55" s="12" t="str"/>
      <x:c r="I55" s="11" t="str">
        <x:v>Engenharia</x:v>
      </x:c>
      <x:c r="J55" s="11" t="str">
        <x:v>BK-044, BK-045, BK-010</x:v>
      </x:c>
      <x:c r="K55" s="11" t="str">
        <x:v>R-12,F-18</x:v>
      </x:c>
      <x:c r="L55" s="11" t="str">
        <x:v>M-013..M-016; H_Contrato_Dados!A7:H9; Consolidação 13/09/2026, §12</x:v>
      </x:c>
      <x:c r="M55" s="11" t="n">
        <x:f>IF(AND(E55="Concluída",H55&lt;&gt;""),F55,0)</x:f>
        <x:v>0</x:v>
      </x:c>
      <x:c r="N55" s="11" t="n">
        <x:f>F55*G55</x:f>
        <x:v>0</x:v>
      </x:c>
    </x:row>
    <x:row r="56" ht="72" customHeight="1">
      <x:c r="A56" s="10" t="str">
        <x:v>BK-050</x:v>
      </x:c>
      <x:c r="B56" s="10" t="str">
        <x:v>04 Dados e integrações</x:v>
      </x:c>
      <x:c r="C56" s="10" t="str">
        <x:v>Ingerir eventos de perdas operacionais</x:v>
      </x:c>
      <x:c r="D56" s="10" t="str">
        <x:v>Desenvolvimento</x:v>
      </x:c>
      <x:c r="E56" s="12" t="str">
        <x:v>Não iniciada</x:v>
      </x:c>
      <x:c r="F56" s="18" t="n">
        <x:v>1</x:v>
      </x:c>
      <x:c r="G56" s="16" t="n">
        <x:v>0</x:v>
      </x:c>
      <x:c r="H56" s="12" t="str"/>
      <x:c r="I56" s="10" t="str">
        <x:v>Engenharia</x:v>
      </x:c>
      <x:c r="J56" s="10" t="str">
        <x:v>BK-043, BK-044, BK-007</x:v>
      </x:c>
      <x:c r="K56" s="10" t="str">
        <x:v>R-11</x:v>
      </x:c>
      <x:c r="L56" s="10" t="str">
        <x:v>M-024..M-029,M-033; T15; Consolidação 13/09/2026, §11</x:v>
      </x:c>
      <x:c r="M56" s="10" t="n">
        <x:f>IF(AND(E56="Concluída",H56&lt;&gt;""),F56,0)</x:f>
        <x:v>0</x:v>
      </x:c>
      <x:c r="N56" s="10" t="n">
        <x:f>F56*G56</x:f>
        <x:v>0</x:v>
      </x:c>
    </x:row>
    <x:row r="57" ht="72" customHeight="1">
      <x:c r="A57" s="11" t="str">
        <x:v>BK-051</x:v>
      </x:c>
      <x:c r="B57" s="11" t="str">
        <x:v>04 Dados e integrações</x:v>
      </x:c>
      <x:c r="C57" s="11" t="str">
        <x:v>Controlar atualização e falha por fonte</x:v>
      </x:c>
      <x:c r="D57" s="11" t="str">
        <x:v>Desenvolvimento</x:v>
      </x:c>
      <x:c r="E57" s="12" t="str">
        <x:v>Não iniciada</x:v>
      </x:c>
      <x:c r="F57" s="18" t="n">
        <x:v>1</x:v>
      </x:c>
      <x:c r="G57" s="17" t="n">
        <x:v>0</x:v>
      </x:c>
      <x:c r="H57" s="12" t="str"/>
      <x:c r="I57" s="11" t="str">
        <x:v>Engenharia</x:v>
      </x:c>
      <x:c r="J57" s="11" t="str">
        <x:v>BK-039, BK-038, BK-010</x:v>
      </x:c>
      <x:c r="K57" s="11" t="str">
        <x:v>R-10,F-19</x:v>
      </x:c>
      <x:c r="L57" s="11" t="str">
        <x:v>L-24; U_CEI_Tela_15; Consolidação 13/09/2026, §10; Fechamento vigente 13/09/2026, §8.11</x:v>
      </x:c>
      <x:c r="M57" s="11" t="n">
        <x:f>IF(AND(E57="Concluída",H57&lt;&gt;""),F57,0)</x:f>
        <x:v>0</x:v>
      </x:c>
      <x:c r="N57" s="11" t="n">
        <x:f>F57*G57</x:f>
        <x:v>0</x:v>
      </x:c>
    </x:row>
    <x:row r="58" ht="72" customHeight="1">
      <x:c r="A58" s="10" t="str">
        <x:v>BK-052</x:v>
      </x:c>
      <x:c r="B58" s="10" t="str">
        <x:v>04 Dados e integrações</x:v>
      </x:c>
      <x:c r="C58" s="10" t="str">
        <x:v>Implementar T15 Importações e Integrações</x:v>
      </x:c>
      <x:c r="D58" s="10" t="str">
        <x:v>Desenvolvimento</x:v>
      </x:c>
      <x:c r="E58" s="12" t="str">
        <x:v>Não iniciada</x:v>
      </x:c>
      <x:c r="F58" s="18" t="n">
        <x:v>1</x:v>
      </x:c>
      <x:c r="G58" s="16" t="n">
        <x:v>0</x:v>
      </x:c>
      <x:c r="H58" s="12" t="str"/>
      <x:c r="I58" s="10" t="str">
        <x:v>Engenharia</x:v>
      </x:c>
      <x:c r="J58" s="10" t="str">
        <x:v>BK-051, BK-044, BK-033, BK-028, BK-012</x:v>
      </x:c>
      <x:c r="K58" s="10" t="str">
        <x:v>R-01,F-18</x:v>
      </x:c>
      <x:c r="L58" s="10" t="str">
        <x:v>T15; U_CEI_Tela_15; T-CEI15-01..08; Consolidação 13/09/2026, §§1–2</x:v>
      </x:c>
      <x:c r="M58" s="10" t="n">
        <x:f>IF(AND(E58="Concluída",H58&lt;&gt;""),F58,0)</x:f>
        <x:v>0</x:v>
      </x:c>
      <x:c r="N58" s="10" t="n">
        <x:f>F58*G58</x:f>
        <x:v>0</x:v>
      </x:c>
    </x:row>
    <x:row r="59" ht="72" customHeight="1">
      <x:c r="A59" s="11" t="str">
        <x:v>BK-053</x:v>
      </x:c>
      <x:c r="B59" s="11" t="str">
        <x:v>05 Tesouraria e conciliação</x:v>
      </x:c>
      <x:c r="C59" s="11" t="str">
        <x:v>Implementar conciliação por evidência e unicidade</x:v>
      </x:c>
      <x:c r="D59" s="11" t="str">
        <x:v>Desenvolvimento</x:v>
      </x:c>
      <x:c r="E59" s="12" t="str">
        <x:v>Não iniciada</x:v>
      </x:c>
      <x:c r="F59" s="18" t="n">
        <x:v>1</x:v>
      </x:c>
      <x:c r="G59" s="17" t="n">
        <x:v>0</x:v>
      </x:c>
      <x:c r="H59" s="12" t="str"/>
      <x:c r="I59" s="11" t="str">
        <x:v>Engenharia</x:v>
      </x:c>
      <x:c r="J59" s="11" t="str">
        <x:v>BK-046, BK-047, BK-045, BK-036</x:v>
      </x:c>
      <x:c r="K59" s="11" t="str">
        <x:v>Q-19,R-10,HT-08,F-19,F-20</x:v>
      </x:c>
      <x:c r="L59" s="11" t="str">
        <x:v>M-008; T03/T05; Consolidação 13/09/2026, §10; pendência 8; Fechamento vigente 13/09/2026, §8.6–8.8,8.11</x:v>
      </x:c>
      <x:c r="M59" s="11" t="n">
        <x:f>IF(AND(E59="Concluída",H59&lt;&gt;""),F59,0)</x:f>
        <x:v>0</x:v>
      </x:c>
      <x:c r="N59" s="11" t="n">
        <x:f>F59*G59</x:f>
        <x:v>0</x:v>
      </x:c>
    </x:row>
    <x:row r="60" ht="72" customHeight="1">
      <x:c r="A60" s="10" t="str">
        <x:v>BK-054</x:v>
      </x:c>
      <x:c r="B60" s="10" t="str">
        <x:v>05 Tesouraria e conciliação</x:v>
      </x:c>
      <x:c r="C60" s="10" t="str">
        <x:v>Implementar revisão, confirmação e desfazimento de conciliação</x:v>
      </x:c>
      <x:c r="D60" s="10" t="str">
        <x:v>Desenvolvimento</x:v>
      </x:c>
      <x:c r="E60" s="12" t="str">
        <x:v>Não iniciada</x:v>
      </x:c>
      <x:c r="F60" s="18" t="n">
        <x:v>1</x:v>
      </x:c>
      <x:c r="G60" s="16" t="n">
        <x:v>0</x:v>
      </x:c>
      <x:c r="H60" s="12" t="str"/>
      <x:c r="I60" s="10" t="str">
        <x:v>Engenharia</x:v>
      </x:c>
      <x:c r="J60" s="10" t="str">
        <x:v>BK-053, BK-034, BK-012</x:v>
      </x:c>
      <x:c r="K60" s="10" t="str">
        <x:v>F-19,F-20</x:v>
      </x:c>
      <x:c r="L60" s="10" t="str">
        <x:v>L-23; T05/T13; Fechamento vigente 13/09/2026, §8.11</x:v>
      </x:c>
      <x:c r="M60" s="10" t="n">
        <x:f>IF(AND(E60="Concluída",H60&lt;&gt;""),F60,0)</x:f>
        <x:v>0</x:v>
      </x:c>
      <x:c r="N60" s="10" t="n">
        <x:f>F60*G60</x:f>
        <x:v>0</x:v>
      </x:c>
    </x:row>
    <x:row r="61" ht="72" customHeight="1">
      <x:c r="A61" s="11" t="str">
        <x:v>BK-055</x:v>
      </x:c>
      <x:c r="B61" s="11" t="str">
        <x:v>05 Tesouraria e conciliação</x:v>
      </x:c>
      <x:c r="C61" s="11" t="str">
        <x:v>Implementar T05 Conciliação</x:v>
      </x:c>
      <x:c r="D61" s="11" t="str">
        <x:v>Desenvolvimento</x:v>
      </x:c>
      <x:c r="E61" s="12" t="str">
        <x:v>Não iniciada</x:v>
      </x:c>
      <x:c r="F61" s="18" t="n">
        <x:v>1</x:v>
      </x:c>
      <x:c r="G61" s="17" t="n">
        <x:v>0</x:v>
      </x:c>
      <x:c r="H61" s="12" t="str"/>
      <x:c r="I61" s="11" t="str">
        <x:v>Engenharia</x:v>
      </x:c>
      <x:c r="J61" s="11" t="str">
        <x:v>BK-054, BK-028</x:v>
      </x:c>
      <x:c r="K61" s="11" t="str"/>
      <x:c r="L61" s="11" t="str">
        <x:v>T05; T-RECON-*</x:v>
      </x:c>
      <x:c r="M61" s="11" t="n">
        <x:f>IF(AND(E61="Concluída",H61&lt;&gt;""),F61,0)</x:f>
        <x:v>0</x:v>
      </x:c>
      <x:c r="N61" s="11" t="n">
        <x:f>F61*G61</x:f>
        <x:v>0</x:v>
      </x:c>
    </x:row>
    <x:row r="62" ht="72" customHeight="1">
      <x:c r="A62" s="10" t="str">
        <x:v>BK-056</x:v>
      </x:c>
      <x:c r="B62" s="10" t="str">
        <x:v>05 Tesouraria e conciliação</x:v>
      </x:c>
      <x:c r="C62" s="10" t="str">
        <x:v>Implementar regras e leitura de Contas a Receber</x:v>
      </x:c>
      <x:c r="D62" s="10" t="str">
        <x:v>Desenvolvimento</x:v>
      </x:c>
      <x:c r="E62" s="12" t="str">
        <x:v>Em andamento</x:v>
      </x:c>
      <x:c r="F62" s="18" t="n">
        <x:v>1</x:v>
      </x:c>
      <x:c r="G62" s="16" t="n">
        <x:v>0.05</x:v>
      </x:c>
      <x:c r="H62" s="12" t="str">
        <x:v>BK-056 parcial (11/10): leitura incremental, com cancelamento e sem totais parciais em falha. Regras D-005-A preservadas; sem integração com fonte ou tela. Ver docs/evidence/AGING-STREAM-READER-2026-10-11.md.</x:v>
      </x:c>
      <x:c r="I62" s="10" t="str">
        <x:v>Engenharia</x:v>
      </x:c>
      <x:c r="J62" s="10" t="str">
        <x:v>BK-046, BK-053, BK-020</x:v>
      </x:c>
      <x:c r="K62" s="10" t="str">
        <x:v>Q-20,F-19,F-20</x:v>
      </x:c>
      <x:c r="L62" s="10" t="str">
        <x:v>T03; M-004,M-005; Consolidação 13/09/2026, §10; Fechamento vigente 13/09/2026, §8.5–8.11</x:v>
      </x:c>
      <x:c r="M62" s="10" t="n">
        <x:f>IF(AND(E62="Concluída",H62&lt;&gt;""),F62,0)</x:f>
        <x:v>0</x:v>
      </x:c>
      <x:c r="N62" s="10" t="n">
        <x:f>F62*G62</x:f>
        <x:v>0.05</x:v>
      </x:c>
    </x:row>
    <x:row r="63" ht="72" customHeight="1">
      <x:c r="A63" s="11" t="str">
        <x:v>BK-057</x:v>
      </x:c>
      <x:c r="B63" s="11" t="str">
        <x:v>05 Tesouraria e conciliação</x:v>
      </x:c>
      <x:c r="C63" s="11" t="str">
        <x:v>Implementar T03 Contas a Receber</x:v>
      </x:c>
      <x:c r="D63" s="11" t="str">
        <x:v>Desenvolvimento</x:v>
      </x:c>
      <x:c r="E63" s="12" t="str">
        <x:v>Não iniciada</x:v>
      </x:c>
      <x:c r="F63" s="18" t="n">
        <x:v>1</x:v>
      </x:c>
      <x:c r="G63" s="17" t="n">
        <x:v>0</x:v>
      </x:c>
      <x:c r="H63" s="12" t="str"/>
      <x:c r="I63" s="11" t="str">
        <x:v>Engenharia</x:v>
      </x:c>
      <x:c r="J63" s="11" t="str">
        <x:v>BK-056, BK-055</x:v>
      </x:c>
      <x:c r="K63" s="11" t="str"/>
      <x:c r="L63" s="11" t="str">
        <x:v>T03</x:v>
      </x:c>
      <x:c r="M63" s="11" t="n">
        <x:f>IF(AND(E63="Concluída",H63&lt;&gt;""),F63,0)</x:f>
        <x:v>0</x:v>
      </x:c>
      <x:c r="N63" s="11" t="n">
        <x:f>F63*G63</x:f>
        <x:v>0</x:v>
      </x:c>
    </x:row>
    <x:row r="64" ht="72" customHeight="1">
      <x:c r="A64" s="10" t="str">
        <x:v>BK-058</x:v>
      </x:c>
      <x:c r="B64" s="10" t="str">
        <x:v>05 Tesouraria e conciliação</x:v>
      </x:c>
      <x:c r="C64" s="10" t="str">
        <x:v>Implementar regras de Contas a Pagar</x:v>
      </x:c>
      <x:c r="D64" s="10" t="str">
        <x:v>Desenvolvimento</x:v>
      </x:c>
      <x:c r="E64" s="12" t="str">
        <x:v>Não iniciada</x:v>
      </x:c>
      <x:c r="F64" s="18" t="n">
        <x:v>1</x:v>
      </x:c>
      <x:c r="G64" s="16" t="n">
        <x:v>0</x:v>
      </x:c>
      <x:c r="H64" s="12" t="str"/>
      <x:c r="I64" s="10" t="str">
        <x:v>Engenharia</x:v>
      </x:c>
      <x:c r="J64" s="10" t="str">
        <x:v>BK-047, BK-005, BK-053</x:v>
      </x:c>
      <x:c r="K64" s="10" t="str"/>
      <x:c r="L64" s="10" t="str">
        <x:v>T04; C-01</x:v>
      </x:c>
      <x:c r="M64" s="10" t="n">
        <x:f>IF(AND(E64="Concluída",H64&lt;&gt;""),F64,0)</x:f>
        <x:v>0</x:v>
      </x:c>
      <x:c r="N64" s="10" t="n">
        <x:f>F64*G64</x:f>
        <x:v>0</x:v>
      </x:c>
    </x:row>
    <x:row r="65" ht="72" customHeight="1">
      <x:c r="A65" s="11" t="str">
        <x:v>BK-059</x:v>
      </x:c>
      <x:c r="B65" s="11" t="str">
        <x:v>05 Tesouraria e conciliação</x:v>
      </x:c>
      <x:c r="C65" s="11" t="str">
        <x:v>Implementar T04 Contas a Pagar</x:v>
      </x:c>
      <x:c r="D65" s="11" t="str">
        <x:v>Desenvolvimento</x:v>
      </x:c>
      <x:c r="E65" s="12" t="str">
        <x:v>Não iniciada</x:v>
      </x:c>
      <x:c r="F65" s="18" t="n">
        <x:v>1</x:v>
      </x:c>
      <x:c r="G65" s="17" t="n">
        <x:v>0</x:v>
      </x:c>
      <x:c r="H65" s="12" t="str"/>
      <x:c r="I65" s="11" t="str">
        <x:v>Engenharia</x:v>
      </x:c>
      <x:c r="J65" s="11" t="str">
        <x:v>BK-058, BK-028</x:v>
      </x:c>
      <x:c r="K65" s="11" t="str"/>
      <x:c r="L65" s="11" t="str">
        <x:v>T04</x:v>
      </x:c>
      <x:c r="M65" s="11" t="n">
        <x:f>IF(AND(E65="Concluída",H65&lt;&gt;""),F65,0)</x:f>
        <x:v>0</x:v>
      </x:c>
      <x:c r="N65" s="11" t="n">
        <x:f>F65*G65</x:f>
        <x:v>0</x:v>
      </x:c>
    </x:row>
    <x:row r="66" ht="72" customHeight="1">
      <x:c r="A66" s="10" t="str">
        <x:v>BK-060</x:v>
      </x:c>
      <x:c r="B66" s="10" t="str">
        <x:v>05 Tesouraria e conciliação</x:v>
      </x:c>
      <x:c r="C66" s="10" t="str">
        <x:v>Implementar fluxo de caixa realizado, previsto e projetado</x:v>
      </x:c>
      <x:c r="D66" s="10" t="str">
        <x:v>Desenvolvimento</x:v>
      </x:c>
      <x:c r="E66" s="12" t="str">
        <x:v>Não iniciada</x:v>
      </x:c>
      <x:c r="F66" s="18" t="n">
        <x:v>1</x:v>
      </x:c>
      <x:c r="G66" s="16" t="n">
        <x:v>0</x:v>
      </x:c>
      <x:c r="H66" s="12" t="str"/>
      <x:c r="I66" s="10" t="str">
        <x:v>Engenharia</x:v>
      </x:c>
      <x:c r="J66" s="10" t="str">
        <x:v>BK-056, BK-058, BK-020, BK-006, BK-047</x:v>
      </x:c>
      <x:c r="K66" s="10" t="str">
        <x:v>Q-21,R-08,R-09,F-18,F-19</x:v>
      </x:c>
      <x:c r="L66" s="10" t="str">
        <x:v>T02; M-002; C-02; L-07; Consolidação 13/09/2026, §§8–10; Fechamento vigente 13/09/2026, §§1,8.5–8.11</x:v>
      </x:c>
      <x:c r="M66" s="10" t="n">
        <x:f>IF(AND(E66="Concluída",H66&lt;&gt;""),F66,0)</x:f>
        <x:v>0</x:v>
      </x:c>
      <x:c r="N66" s="10" t="n">
        <x:f>F66*G66</x:f>
        <x:v>0</x:v>
      </x:c>
    </x:row>
    <x:row r="67" ht="72" customHeight="1">
      <x:c r="A67" s="11" t="str">
        <x:v>BK-061</x:v>
      </x:c>
      <x:c r="B67" s="11" t="str">
        <x:v>05 Tesouraria e conciliação</x:v>
      </x:c>
      <x:c r="C67" s="11" t="str">
        <x:v>Implementar seleção e memória da semana crítica</x:v>
      </x:c>
      <x:c r="D67" s="11" t="str">
        <x:v>Desenvolvimento</x:v>
      </x:c>
      <x:c r="E67" s="12" t="str">
        <x:v>Não iniciada</x:v>
      </x:c>
      <x:c r="F67" s="18" t="n">
        <x:v>1</x:v>
      </x:c>
      <x:c r="G67" s="17" t="n">
        <x:v>0</x:v>
      </x:c>
      <x:c r="H67" s="12" t="str"/>
      <x:c r="I67" s="11" t="str">
        <x:v>Engenharia</x:v>
      </x:c>
      <x:c r="J67" s="11" t="str">
        <x:v>BK-060, BK-006</x:v>
      </x:c>
      <x:c r="K67" s="11" t="str">
        <x:v>F-01</x:v>
      </x:c>
      <x:c r="L67" s="11" t="str">
        <x:v>T02/T08; C-02,L-07; Fechamento vigente 13/09/2026, §1</x:v>
      </x:c>
      <x:c r="M67" s="11" t="n">
        <x:f>IF(AND(E67="Concluída",H67&lt;&gt;""),F67,0)</x:f>
        <x:v>0</x:v>
      </x:c>
      <x:c r="N67" s="11" t="n">
        <x:f>F67*G67</x:f>
        <x:v>0</x:v>
      </x:c>
    </x:row>
    <x:row r="68" ht="72" customHeight="1">
      <x:c r="A68" s="10" t="str">
        <x:v>BK-062</x:v>
      </x:c>
      <x:c r="B68" s="10" t="str">
        <x:v>05 Tesouraria e conciliação</x:v>
      </x:c>
      <x:c r="C68" s="10" t="str">
        <x:v>Implementar T02 Fluxo de Caixa</x:v>
      </x:c>
      <x:c r="D68" s="10" t="str">
        <x:v>Desenvolvimento</x:v>
      </x:c>
      <x:c r="E68" s="12" t="str">
        <x:v>Não iniciada</x:v>
      </x:c>
      <x:c r="F68" s="18" t="n">
        <x:v>1</x:v>
      </x:c>
      <x:c r="G68" s="16" t="n">
        <x:v>0</x:v>
      </x:c>
      <x:c r="H68" s="12" t="str"/>
      <x:c r="I68" s="10" t="str">
        <x:v>Engenharia</x:v>
      </x:c>
      <x:c r="J68" s="10" t="str">
        <x:v>BK-061, BK-028, BK-012</x:v>
      </x:c>
      <x:c r="K68" s="10" t="str"/>
      <x:c r="L68" s="10" t="str">
        <x:v>T02; Consolidação 13/09/2026, §§8–10</x:v>
      </x:c>
      <x:c r="M68" s="10" t="n">
        <x:f>IF(AND(E68="Concluída",H68&lt;&gt;""),F68,0)</x:f>
        <x:v>0</x:v>
      </x:c>
      <x:c r="N68" s="10" t="n">
        <x:f>F68*G68</x:f>
        <x:v>0</x:v>
      </x:c>
    </x:row>
    <x:row r="69" ht="72" customHeight="1">
      <x:c r="A69" s="11" t="str">
        <x:v>BK-063</x:v>
      </x:c>
      <x:c r="B69" s="11" t="str">
        <x:v>06 Resultados, perdas e aplicações</x:v>
      </x:c>
      <x:c r="C69" s="11" t="str">
        <x:v>Preservar o custo Bling válido para cada venda</x:v>
      </x:c>
      <x:c r="D69" s="11" t="str">
        <x:v>Desenvolvimento</x:v>
      </x:c>
      <x:c r="E69" s="12" t="str">
        <x:v>Não iniciada</x:v>
      </x:c>
      <x:c r="F69" s="18" t="n">
        <x:v>1</x:v>
      </x:c>
      <x:c r="G69" s="17" t="n">
        <x:v>0</x:v>
      </x:c>
      <x:c r="H69" s="12" t="str"/>
      <x:c r="I69" s="11" t="str">
        <x:v>Engenharia</x:v>
      </x:c>
      <x:c r="J69" s="11" t="str">
        <x:v>BK-045, BK-007, BK-038</x:v>
      </x:c>
      <x:c r="K69" s="11" t="str">
        <x:v>HT-05</x:v>
      </x:c>
      <x:c r="L69" s="11" t="str">
        <x:v>M-019,M-020; L-03; Consolidação 13/09/2026, pendência 5</x:v>
      </x:c>
      <x:c r="M69" s="11" t="n">
        <x:f>IF(AND(E69="Concluída",H69&lt;&gt;""),F69,0)</x:f>
        <x:v>0</x:v>
      </x:c>
      <x:c r="N69" s="11" t="n">
        <x:f>F69*G69</x:f>
        <x:v>0</x:v>
      </x:c>
    </x:row>
    <x:row r="70" ht="72" customHeight="1">
      <x:c r="A70" s="10" t="str">
        <x:v>BK-064</x:v>
      </x:c>
      <x:c r="B70" s="10" t="str">
        <x:v>06 Resultados, perdas e aplicações</x:v>
      </x:c>
      <x:c r="C70" s="10" t="str">
        <x:v>Preservar contas, classificações e competência do Bling</x:v>
      </x:c>
      <x:c r="D70" s="10" t="str">
        <x:v>Desenvolvimento</x:v>
      </x:c>
      <x:c r="E70" s="12" t="str">
        <x:v>Não iniciada</x:v>
      </x:c>
      <x:c r="F70" s="18" t="n">
        <x:v>1</x:v>
      </x:c>
      <x:c r="G70" s="16" t="n">
        <x:v>0</x:v>
      </x:c>
      <x:c r="H70" s="12" t="str"/>
      <x:c r="I70" s="10" t="str">
        <x:v>Engenharia</x:v>
      </x:c>
      <x:c r="J70" s="10" t="str">
        <x:v>BK-041, BK-007, BK-038</x:v>
      </x:c>
      <x:c r="K70" s="10" t="str">
        <x:v>R-05,R-12,HT-06,F-02</x:v>
      </x:c>
      <x:c r="L70" s="10" t="str">
        <x:v>M-017,M-018,M-029; H_Contrato_Dados!A18:H18; Consolidação 13/09/2026, pendência 6; §12; Fechamento vigente 13/09/2026, §2</x:v>
      </x:c>
      <x:c r="M70" s="10" t="n">
        <x:f>IF(AND(E70="Concluída",H70&lt;&gt;""),F70,0)</x:f>
        <x:v>0</x:v>
      </x:c>
      <x:c r="N70" s="10" t="n">
        <x:f>F70*G70</x:f>
        <x:v>0</x:v>
      </x:c>
    </x:row>
    <x:row r="71" ht="72" customHeight="1">
      <x:c r="A71" s="11" t="str">
        <x:v>BK-065</x:v>
      </x:c>
      <x:c r="B71" s="11" t="str">
        <x:v>06 Resultados, perdas e aplicações</x:v>
      </x:c>
      <x:c r="C71" s="11" t="str">
        <x:v>Implementar perdas e recuperações sem dupla contagem</x:v>
      </x:c>
      <x:c r="D71" s="11" t="str">
        <x:v>Desenvolvimento</x:v>
      </x:c>
      <x:c r="E71" s="12" t="str">
        <x:v>Não iniciada</x:v>
      </x:c>
      <x:c r="F71" s="18" t="n">
        <x:v>1</x:v>
      </x:c>
      <x:c r="G71" s="17" t="n">
        <x:v>0</x:v>
      </x:c>
      <x:c r="H71" s="12" t="str"/>
      <x:c r="I71" s="11" t="str">
        <x:v>Engenharia</x:v>
      </x:c>
      <x:c r="J71" s="11" t="str">
        <x:v>BK-050, BK-064</x:v>
      </x:c>
      <x:c r="K71" s="11" t="str">
        <x:v>R-11,F-18</x:v>
      </x:c>
      <x:c r="L71" s="11" t="str">
        <x:v>M-024..M-026; L-04,L-14; Consolidação 13/09/2026, §11; Fechamento vigente 13/09/2026, §§2,8.14</x:v>
      </x:c>
      <x:c r="M71" s="11" t="n">
        <x:f>IF(AND(E71="Concluída",H71&lt;&gt;""),F71,0)</x:f>
        <x:v>0</x:v>
      </x:c>
      <x:c r="N71" s="11" t="n">
        <x:f>F71*G71</x:f>
        <x:v>0</x:v>
      </x:c>
    </x:row>
    <x:row r="72" ht="72" customHeight="1">
      <x:c r="A72" s="10" t="str">
        <x:v>BK-066</x:v>
      </x:c>
      <x:c r="B72" s="10" t="str">
        <x:v>06 Resultados, perdas e aplicações</x:v>
      </x:c>
      <x:c r="C72" s="10" t="str">
        <x:v>Calcular e conferir a DRE própria por competência</x:v>
      </x:c>
      <x:c r="D72" s="10" t="str">
        <x:v>Desenvolvimento</x:v>
      </x:c>
      <x:c r="E72" s="12" t="str">
        <x:v>Não iniciada</x:v>
      </x:c>
      <x:c r="F72" s="18" t="n">
        <x:v>1</x:v>
      </x:c>
      <x:c r="G72" s="16" t="n">
        <x:v>0</x:v>
      </x:c>
      <x:c r="H72" s="12" t="str"/>
      <x:c r="I72" s="10" t="str">
        <x:v>Engenharia</x:v>
      </x:c>
      <x:c r="J72" s="10" t="str">
        <x:v>BK-041, BK-064, BK-038, BK-020</x:v>
      </x:c>
      <x:c r="K72" s="10" t="str">
        <x:v>HT-06,F-02</x:v>
      </x:c>
      <x:c r="L72" s="10" t="str">
        <x:v>T06; M-017..M-029; Fechamento vigente 13/09/2026, §2</x:v>
      </x:c>
      <x:c r="M72" s="10" t="n">
        <x:f>IF(AND(E72="Concluída",H72&lt;&gt;""),F72,0)</x:f>
        <x:v>0</x:v>
      </x:c>
      <x:c r="N72" s="10" t="n">
        <x:f>F72*G72</x:f>
        <x:v>0</x:v>
      </x:c>
    </x:row>
    <x:row r="73" ht="72" customHeight="1">
      <x:c r="A73" s="11" t="str">
        <x:v>BK-067</x:v>
      </x:c>
      <x:c r="B73" s="11" t="str">
        <x:v>06 Resultados, perdas e aplicações</x:v>
      </x:c>
      <x:c r="C73" s="11" t="str">
        <x:v>Implementar T06 DRE</x:v>
      </x:c>
      <x:c r="D73" s="11" t="str">
        <x:v>Desenvolvimento</x:v>
      </x:c>
      <x:c r="E73" s="12" t="str">
        <x:v>Em andamento</x:v>
      </x:c>
      <x:c r="F73" s="18" t="n">
        <x:v>1</x:v>
      </x:c>
      <x:c r="G73" s="17" t="n">
        <x:v>0.2</x:v>
      </x:c>
      <x:c r="H73" s="12" t="str"/>
      <x:c r="I73" s="11" t="str">
        <x:v>Engenharia</x:v>
      </x:c>
      <x:c r="J73" s="11" t="str">
        <x:v>BK-066, BK-028, BK-021</x:v>
      </x:c>
      <x:c r="K73" s="11" t="str">
        <x:v>Q-22,F-02</x:v>
      </x:c>
      <x:c r="L73" s="11" t="str">
        <x:v>T06; Fechamento vigente 13/09/2026, §§2,5</x:v>
      </x:c>
      <x:c r="M73" s="11" t="n">
        <x:f>IF(AND(E73="Concluída",H73&lt;&gt;""),F73,0)</x:f>
        <x:v>0</x:v>
      </x:c>
      <x:c r="N73" s="11" t="n">
        <x:f>F73*G73</x:f>
        <x:v>0.2</x:v>
      </x:c>
    </x:row>
    <x:row r="74" ht="72" customHeight="1">
      <x:c r="A74" s="10" t="str">
        <x:v>BK-068</x:v>
      </x:c>
      <x:c r="B74" s="10" t="str">
        <x:v>06 Resultados, perdas e aplicações</x:v>
      </x:c>
      <x:c r="C74" s="10" t="str">
        <x:v>Reproduzir o balancete a partir da base do Bling</x:v>
      </x:c>
      <x:c r="D74" s="10" t="str">
        <x:v>Desenvolvimento</x:v>
      </x:c>
      <x:c r="E74" s="12" t="str">
        <x:v>Não iniciada</x:v>
      </x:c>
      <x:c r="F74" s="18" t="n">
        <x:v>1</x:v>
      </x:c>
      <x:c r="G74" s="16" t="n">
        <x:v>0</x:v>
      </x:c>
      <x:c r="H74" s="12" t="str"/>
      <x:c r="I74" s="10" t="str">
        <x:v>Engenharia</x:v>
      </x:c>
      <x:c r="J74" s="10" t="str">
        <x:v>BK-041, BK-064, BK-038, BK-020</x:v>
      </x:c>
      <x:c r="K74" s="10" t="str">
        <x:v>HT-04,F-03</x:v>
      </x:c>
      <x:c r="L74" s="10" t="str">
        <x:v>T07; M-027,M-028; L-08; Consolidação 13/09/2026, pendência 4; Fechamento vigente 13/09/2026, §2</x:v>
      </x:c>
      <x:c r="M74" s="10" t="n">
        <x:f>IF(AND(E74="Concluída",H74&lt;&gt;""),F74,0)</x:f>
        <x:v>0</x:v>
      </x:c>
      <x:c r="N74" s="10" t="n">
        <x:f>F74*G74</x:f>
        <x:v>0</x:v>
      </x:c>
    </x:row>
    <x:row r="75" ht="72" customHeight="1">
      <x:c r="A75" s="11" t="str">
        <x:v>BK-069</x:v>
      </x:c>
      <x:c r="B75" s="11" t="str">
        <x:v>06 Resultados, perdas e aplicações</x:v>
      </x:c>
      <x:c r="C75" s="11" t="str">
        <x:v>Implementar T07 Balancete</x:v>
      </x:c>
      <x:c r="D75" s="11" t="str">
        <x:v>Desenvolvimento</x:v>
      </x:c>
      <x:c r="E75" s="12" t="str">
        <x:v>Não iniciada</x:v>
      </x:c>
      <x:c r="F75" s="18" t="n">
        <x:v>1</x:v>
      </x:c>
      <x:c r="G75" s="17" t="n">
        <x:v>0</x:v>
      </x:c>
      <x:c r="H75" s="12" t="str"/>
      <x:c r="I75" s="11" t="str">
        <x:v>Engenharia</x:v>
      </x:c>
      <x:c r="J75" s="11" t="str">
        <x:v>BK-068, BK-028</x:v>
      </x:c>
      <x:c r="K75" s="11" t="str">
        <x:v>Q-23,F-03</x:v>
      </x:c>
      <x:c r="L75" s="11" t="str">
        <x:v>T07; Fechamento vigente 13/09/2026, §2</x:v>
      </x:c>
      <x:c r="M75" s="11" t="n">
        <x:f>IF(AND(E75="Concluída",H75&lt;&gt;""),F75,0)</x:f>
        <x:v>0</x:v>
      </x:c>
      <x:c r="N75" s="11" t="n">
        <x:f>F75*G75</x:f>
        <x:v>0</x:v>
      </x:c>
    </x:row>
    <x:row r="76" ht="72" customHeight="1">
      <x:c r="A76" s="10" t="str">
        <x:v>BK-070</x:v>
      </x:c>
      <x:c r="B76" s="10" t="str">
        <x:v>06 Resultados, perdas e aplicações</x:v>
      </x:c>
      <x:c r="C76" s="10" t="str">
        <x:v>Definir e implementar PMR, PMP, PME e ciclo financeiro</x:v>
      </x:c>
      <x:c r="D76" s="10" t="str">
        <x:v>Desenvolvimento</x:v>
      </x:c>
      <x:c r="E76" s="12" t="str">
        <x:v>Não iniciada</x:v>
      </x:c>
      <x:c r="F76" s="18" t="n">
        <x:v>1</x:v>
      </x:c>
      <x:c r="G76" s="16" t="n">
        <x:v>0</x:v>
      </x:c>
      <x:c r="H76" s="12" t="str"/>
      <x:c r="I76" s="10" t="str">
        <x:v>Financeiro + Backend</x:v>
      </x:c>
      <x:c r="J76" s="10" t="str">
        <x:v>BK-056, BK-058, BK-077, BK-066</x:v>
      </x:c>
      <x:c r="K76" s="10" t="str">
        <x:v>Q-27</x:v>
      </x:c>
      <x:c r="L76" s="10" t="str">
        <x:v>T08 indicadores PMR/PMP/PME e ciclo; B_Intersecoes!A12:I12</x:v>
      </x:c>
      <x:c r="M76" s="10" t="n">
        <x:f>IF(AND(E76="Concluída",H76&lt;&gt;""),F76,0)</x:f>
        <x:v>0</x:v>
      </x:c>
      <x:c r="N76" s="10" t="n">
        <x:f>F76*G76</x:f>
        <x:v>0</x:v>
      </x:c>
    </x:row>
    <x:row r="77" ht="72" customHeight="1">
      <x:c r="A77" s="11" t="str">
        <x:v>BK-071</x:v>
      </x:c>
      <x:c r="B77" s="11" t="str">
        <x:v>06 Resultados, perdas e aplicações</x:v>
      </x:c>
      <x:c r="C77" s="11" t="str">
        <x:v>Implementar movimentos de investimentos e posição comprovada no Bling</x:v>
      </x:c>
      <x:c r="D77" s="11" t="str">
        <x:v>Desenvolvimento</x:v>
      </x:c>
      <x:c r="E77" s="12" t="str">
        <x:v>Não iniciada</x:v>
      </x:c>
      <x:c r="F77" s="18" t="n">
        <x:v>1</x:v>
      </x:c>
      <x:c r="G77" s="17" t="n">
        <x:v>0</x:v>
      </x:c>
      <x:c r="H77" s="12" t="str"/>
      <x:c r="I77" s="11" t="str">
        <x:v>Engenharia</x:v>
      </x:c>
      <x:c r="J77" s="11" t="str">
        <x:v>BK-041, BK-044, BK-006, BK-064, BK-047</x:v>
      </x:c>
      <x:c r="K77" s="11" t="str">
        <x:v>Q-10,R-04,R-05,R-06,R-07,HT-01,HT-02</x:v>
      </x:c>
      <x:c r="L77" s="11" t="str">
        <x:v>M-030..M-034; T08; Consolidação 13/09/2026, §§4–7; Fechamento vigente 13/09/2026, §2</x:v>
      </x:c>
      <x:c r="M77" s="11" t="n">
        <x:f>IF(AND(E77="Concluída",H77&lt;&gt;""),F77,0)</x:f>
        <x:v>0</x:v>
      </x:c>
      <x:c r="N77" s="11" t="n">
        <x:f>F77*G77</x:f>
        <x:v>0</x:v>
      </x:c>
    </x:row>
    <x:row r="78" ht="72" customHeight="1">
      <x:c r="A78" s="10" t="str">
        <x:v>BK-072</x:v>
      </x:c>
      <x:c r="B78" s="10" t="str">
        <x:v>06 Resultados, perdas e aplicações</x:v>
      </x:c>
      <x:c r="C78" s="10" t="str">
        <x:v>Implementar o cálculo de capacidade de aplicação</x:v>
      </x:c>
      <x:c r="D78" s="10" t="str">
        <x:v>Desenvolvimento</x:v>
      </x:c>
      <x:c r="E78" s="12" t="str">
        <x:v>Não iniciada</x:v>
      </x:c>
      <x:c r="F78" s="18" t="n">
        <x:v>1</x:v>
      </x:c>
      <x:c r="G78" s="16" t="n">
        <x:v>0</x:v>
      </x:c>
      <x:c r="H78" s="12" t="str"/>
      <x:c r="I78" s="10" t="str">
        <x:v>Engenharia</x:v>
      </x:c>
      <x:c r="J78" s="10" t="str">
        <x:v>BK-071, BK-061, BK-066, BK-006</x:v>
      </x:c>
      <x:c r="K78" s="10" t="str">
        <x:v>R-06,R-08,R-09,HT-01,F-01</x:v>
      </x:c>
      <x:c r="L78" s="10" t="str">
        <x:v>T08; M-034; C-02,C-03,L-07; Consolidação 13/09/2026, §§6–9; Fechamento vigente 13/09/2026, §§1–2</x:v>
      </x:c>
      <x:c r="M78" s="10" t="n">
        <x:f>IF(AND(E78="Concluída",H78&lt;&gt;""),F78,0)</x:f>
        <x:v>0</x:v>
      </x:c>
      <x:c r="N78" s="10" t="n">
        <x:f>F78*G78</x:f>
        <x:v>0</x:v>
      </x:c>
    </x:row>
    <x:row r="79" ht="72" customHeight="1">
      <x:c r="A79" s="11" t="str">
        <x:v>BK-073</x:v>
      </x:c>
      <x:c r="B79" s="11" t="str">
        <x:v>06 Resultados, perdas e aplicações</x:v>
      </x:c>
      <x:c r="C79" s="11" t="str">
        <x:v>Implementar T08 Calculadora de Aplicação</x:v>
      </x:c>
      <x:c r="D79" s="11" t="str">
        <x:v>Desenvolvimento</x:v>
      </x:c>
      <x:c r="E79" s="12" t="str">
        <x:v>Não iniciada</x:v>
      </x:c>
      <x:c r="F79" s="18" t="n">
        <x:v>1</x:v>
      </x:c>
      <x:c r="G79" s="17" t="n">
        <x:v>0</x:v>
      </x:c>
      <x:c r="H79" s="12" t="str"/>
      <x:c r="I79" s="11" t="str">
        <x:v>Engenharia</x:v>
      </x:c>
      <x:c r="J79" s="11" t="str">
        <x:v>BK-072, BK-028, BK-012, BK-070</x:v>
      </x:c>
      <x:c r="K79" s="11" t="str">
        <x:v>R-07</x:v>
      </x:c>
      <x:c r="L79" s="11" t="str">
        <x:v>T08; T16 regra Tela 08 não exporta; Consolidação 13/09/2026, §§6–9</x:v>
      </x:c>
      <x:c r="M79" s="11" t="n">
        <x:f>IF(AND(E79="Concluída",H79&lt;&gt;""),F79,0)</x:f>
        <x:v>0</x:v>
      </x:c>
      <x:c r="N79" s="11" t="n">
        <x:f>F79*G79</x:f>
        <x:v>0</x:v>
      </x:c>
    </x:row>
    <x:row r="80" ht="72" customHeight="1">
      <x:c r="A80" s="10" t="str">
        <x:v>BK-074</x:v>
      </x:c>
      <x:c r="B80" s="10" t="str">
        <x:v>06 Resultados, perdas e aplicações</x:v>
      </x:c>
      <x:c r="C80" s="10" t="str">
        <x:v>Implementar a consulta de Aplicações</x:v>
      </x:c>
      <x:c r="D80" s="10" t="str">
        <x:v>Desenvolvimento</x:v>
      </x:c>
      <x:c r="E80" s="12" t="str">
        <x:v>Não iniciada</x:v>
      </x:c>
      <x:c r="F80" s="18" t="n">
        <x:v>1</x:v>
      </x:c>
      <x:c r="G80" s="16" t="n">
        <x:v>0</x:v>
      </x:c>
      <x:c r="H80" s="12" t="str"/>
      <x:c r="I80" s="10" t="str">
        <x:v>Engenharia</x:v>
      </x:c>
      <x:c r="J80" s="10" t="str">
        <x:v>BK-004, BK-071, BK-021</x:v>
      </x:c>
      <x:c r="K80" s="10" t="str">
        <x:v>Q-02,R-04,R-07,HT-02</x:v>
      </x:c>
      <x:c r="L80" s="10" t="str">
        <x:v>Menus; T08 Ver aplicações; Consolidação 13/09/2026, §§4–7</x:v>
      </x:c>
      <x:c r="M80" s="10" t="n">
        <x:f>IF(AND(E80="Concluída",H80&lt;&gt;""),F80,0)</x:f>
        <x:v>0</x:v>
      </x:c>
      <x:c r="N80" s="10" t="n">
        <x:f>F80*G80</x:f>
        <x:v>0</x:v>
      </x:c>
    </x:row>
    <x:row r="81" ht="72" customHeight="1">
      <x:c r="A81" s="11" t="str">
        <x:v>BK-075</x:v>
      </x:c>
      <x:c r="B81" s="11" t="str">
        <x:v>06 Resultados, perdas e aplicações</x:v>
      </x:c>
      <x:c r="C81" s="11" t="str">
        <x:v>Implementar análise de preço e margem no local aprovado</x:v>
      </x:c>
      <x:c r="D81" s="11" t="str">
        <x:v>Desenvolvimento</x:v>
      </x:c>
      <x:c r="E81" s="12" t="str">
        <x:v>Não iniciada</x:v>
      </x:c>
      <x:c r="F81" s="18" t="n">
        <x:v>1</x:v>
      </x:c>
      <x:c r="G81" s="17" t="n">
        <x:v>0</x:v>
      </x:c>
      <x:c r="H81" s="12" t="str"/>
      <x:c r="I81" s="11" t="str">
        <x:v>Engenharia</x:v>
      </x:c>
      <x:c r="J81" s="11" t="str">
        <x:v>BK-004, BK-063, BK-064, BK-036</x:v>
      </x:c>
      <x:c r="K81" s="11" t="str">
        <x:v>L-06,L-10,F-06</x:v>
      </x:c>
      <x:c r="L81" s="11" t="str">
        <x:v>M-021..M-023; L-06,L-10; Fechamento vigente 13/09/2026, §3.3</x:v>
      </x:c>
      <x:c r="M81" s="11" t="n">
        <x:f>IF(AND(E81="Concluída",H81&lt;&gt;""),F81,0)</x:f>
        <x:v>0</x:v>
      </x:c>
      <x:c r="N81" s="11" t="n">
        <x:f>F81*G81</x:f>
        <x:v>0</x:v>
      </x:c>
    </x:row>
    <x:row r="82" ht="72" customHeight="1">
      <x:c r="A82" s="10" t="str">
        <x:v>BK-076</x:v>
      </x:c>
      <x:c r="B82" s="10" t="str">
        <x:v>06 Resultados, perdas e aplicações</x:v>
      </x:c>
      <x:c r="C82" s="10" t="str">
        <x:v>Implementar indicadores de logística no local aprovado</x:v>
      </x:c>
      <x:c r="D82" s="10" t="str">
        <x:v>Desenvolvimento</x:v>
      </x:c>
      <x:c r="E82" s="12" t="str">
        <x:v>Não iniciada</x:v>
      </x:c>
      <x:c r="F82" s="18" t="n">
        <x:v>1</x:v>
      </x:c>
      <x:c r="G82" s="16" t="n">
        <x:v>0</x:v>
      </x:c>
      <x:c r="H82" s="12" t="str"/>
      <x:c r="I82" s="10" t="str">
        <x:v>Engenharia</x:v>
      </x:c>
      <x:c r="J82" s="10" t="str">
        <x:v>BK-004, BK-049, BK-064</x:v>
      </x:c>
      <x:c r="K82" s="10" t="str">
        <x:v>L-16,R-12</x:v>
      </x:c>
      <x:c r="L82" s="10" t="str">
        <x:v>M-013..M-016; L-16; Consolidação 13/09/2026, §12</x:v>
      </x:c>
      <x:c r="M82" s="10" t="n">
        <x:f>IF(AND(E82="Concluída",H82&lt;&gt;""),F82,0)</x:f>
        <x:v>0</x:v>
      </x:c>
      <x:c r="N82" s="10" t="n">
        <x:f>F82*G82</x:f>
        <x:v>0</x:v>
      </x:c>
    </x:row>
    <x:row r="83" ht="72" customHeight="1">
      <x:c r="A83" s="11" t="str">
        <x:v>BK-077</x:v>
      </x:c>
      <x:c r="B83" s="11" t="str">
        <x:v>07 Estoque, produção e compras</x:v>
      </x:c>
      <x:c r="C83" s="11" t="str">
        <x:v>Implementar classificação e posição de estoque</x:v>
      </x:c>
      <x:c r="D83" s="11" t="str">
        <x:v>Desenvolvimento</x:v>
      </x:c>
      <x:c r="E83" s="12" t="str">
        <x:v>Não iniciada</x:v>
      </x:c>
      <x:c r="F83" s="18" t="n">
        <x:v>1</x:v>
      </x:c>
      <x:c r="G83" s="17" t="n">
        <x:v>0</x:v>
      </x:c>
      <x:c r="H83" s="12" t="str"/>
      <x:c r="I83" s="11" t="str">
        <x:v>Engenharia</x:v>
      </x:c>
      <x:c r="J83" s="11" t="str">
        <x:v>BK-048, BK-008, BK-020</x:v>
      </x:c>
      <x:c r="K83" s="11" t="str">
        <x:v>R-03,HT-03</x:v>
      </x:c>
      <x:c r="L83" s="11" t="str">
        <x:v>T09; Q_CEI_Tela_11; Consolidação 13/09/2026, §3; Fechamento vigente 13/09/2026, §3</x:v>
      </x:c>
      <x:c r="M83" s="11" t="n">
        <x:f>IF(AND(E83="Concluída",H83&lt;&gt;""),F83,0)</x:f>
        <x:v>0</x:v>
      </x:c>
      <x:c r="N83" s="11" t="n">
        <x:f>F83*G83</x:f>
        <x:v>0</x:v>
      </x:c>
    </x:row>
    <x:row r="84" ht="72" customHeight="1">
      <x:c r="A84" s="10" t="str">
        <x:v>BK-078</x:v>
      </x:c>
      <x:c r="B84" s="10" t="str">
        <x:v>07 Estoque, produção e compras</x:v>
      </x:c>
      <x:c r="C84" s="10" t="str">
        <x:v>Implementar T09 Estoque</x:v>
      </x:c>
      <x:c r="D84" s="10" t="str">
        <x:v>Desenvolvimento</x:v>
      </x:c>
      <x:c r="E84" s="12" t="str">
        <x:v>Não iniciada</x:v>
      </x:c>
      <x:c r="F84" s="18" t="n">
        <x:v>1</x:v>
      </x:c>
      <x:c r="G84" s="16" t="n">
        <x:v>0</x:v>
      </x:c>
      <x:c r="H84" s="12" t="str"/>
      <x:c r="I84" s="10" t="str">
        <x:v>Engenharia</x:v>
      </x:c>
      <x:c r="J84" s="10" t="str">
        <x:v>BK-077, BK-028</x:v>
      </x:c>
      <x:c r="K84" s="10" t="str"/>
      <x:c r="L84" s="10" t="str">
        <x:v>T09</x:v>
      </x:c>
      <x:c r="M84" s="10" t="n">
        <x:f>IF(AND(E84="Concluída",H84&lt;&gt;""),F84,0)</x:f>
        <x:v>0</x:v>
      </x:c>
      <x:c r="N84" s="10" t="n">
        <x:f>F84*G84</x:f>
        <x:v>0</x:v>
      </x:c>
    </x:row>
    <x:row r="85" ht="72" customHeight="1">
      <x:c r="A85" s="11" t="str">
        <x:v>BK-079</x:v>
      </x:c>
      <x:c r="B85" s="11" t="str">
        <x:v>07 Estoque, produção e compras</x:v>
      </x:c>
      <x:c r="C85" s="11" t="str">
        <x:v>Implementar metas de produção por SKU e período</x:v>
      </x:c>
      <x:c r="D85" s="11" t="str">
        <x:v>Desenvolvimento</x:v>
      </x:c>
      <x:c r="E85" s="12" t="str">
        <x:v>Não iniciada</x:v>
      </x:c>
      <x:c r="F85" s="18" t="n">
        <x:v>1</x:v>
      </x:c>
      <x:c r="G85" s="17" t="n">
        <x:v>0</x:v>
      </x:c>
      <x:c r="H85" s="12" t="str"/>
      <x:c r="I85" s="11" t="str">
        <x:v>Engenharia</x:v>
      </x:c>
      <x:c r="J85" s="11" t="str">
        <x:v>BK-008, BK-036, BK-034</x:v>
      </x:c>
      <x:c r="K85" s="11" t="str">
        <x:v>Q-08,Q-12,F-11,F-16</x:v>
      </x:c>
      <x:c r="L85" s="11" t="str">
        <x:v>T10; T16 Meta por SKU; Fechamento vigente 13/09/2026, §§4,6.4</x:v>
      </x:c>
      <x:c r="M85" s="11" t="n">
        <x:f>IF(AND(E85="Concluída",H85&lt;&gt;""),F85,0)</x:f>
        <x:v>0</x:v>
      </x:c>
      <x:c r="N85" s="11" t="n">
        <x:f>F85*G85</x:f>
        <x:v>0</x:v>
      </x:c>
    </x:row>
    <x:row r="86" ht="72" customHeight="1">
      <x:c r="A86" s="10" t="str">
        <x:v>BK-080</x:v>
      </x:c>
      <x:c r="B86" s="10" t="str">
        <x:v>07 Estoque, produção e compras</x:v>
      </x:c>
      <x:c r="C86" s="10" t="str">
        <x:v>Implementar indicadores de produção realizada</x:v>
      </x:c>
      <x:c r="D86" s="10" t="str">
        <x:v>Desenvolvimento</x:v>
      </x:c>
      <x:c r="E86" s="12" t="str">
        <x:v>Não iniciada</x:v>
      </x:c>
      <x:c r="F86" s="18" t="n">
        <x:v>1</x:v>
      </x:c>
      <x:c r="G86" s="16" t="n">
        <x:v>0</x:v>
      </x:c>
      <x:c r="H86" s="12" t="str"/>
      <x:c r="I86" s="10" t="str">
        <x:v>Engenharia</x:v>
      </x:c>
      <x:c r="J86" s="10" t="str">
        <x:v>BK-048, BK-079, BK-008</x:v>
      </x:c>
      <x:c r="K86" s="10" t="str">
        <x:v>F-08,F-09</x:v>
      </x:c>
      <x:c r="L86" s="10" t="str">
        <x:v>T10; T10 duplicata; Fechamento vigente 13/09/2026, §4.1–4.4</x:v>
      </x:c>
      <x:c r="M86" s="10" t="n">
        <x:f>IF(AND(E86="Concluída",H86&lt;&gt;""),F86,0)</x:f>
        <x:v>0</x:v>
      </x:c>
      <x:c r="N86" s="10" t="n">
        <x:f>F86*G86</x:f>
        <x:v>0</x:v>
      </x:c>
    </x:row>
    <x:row r="87" ht="72" customHeight="1">
      <x:c r="A87" s="11" t="str">
        <x:v>BK-081</x:v>
      </x:c>
      <x:c r="B87" s="11" t="str">
        <x:v>07 Estoque, produção e compras</x:v>
      </x:c>
      <x:c r="C87" s="11" t="str">
        <x:v>Implementar T10 Produção</x:v>
      </x:c>
      <x:c r="D87" s="11" t="str">
        <x:v>Desenvolvimento</x:v>
      </x:c>
      <x:c r="E87" s="12" t="str">
        <x:v>Não iniciada</x:v>
      </x:c>
      <x:c r="F87" s="18" t="n">
        <x:v>1</x:v>
      </x:c>
      <x:c r="G87" s="17" t="n">
        <x:v>0</x:v>
      </x:c>
      <x:c r="H87" s="12" t="str"/>
      <x:c r="I87" s="11" t="str">
        <x:v>Engenharia</x:v>
      </x:c>
      <x:c r="J87" s="11" t="str">
        <x:v>BK-080, BK-028</x:v>
      </x:c>
      <x:c r="K87" s="11" t="str">
        <x:v>F-08,F-09</x:v>
      </x:c>
      <x:c r="L87" s="11" t="str">
        <x:v>T10; M-052; Fechamento vigente 13/09/2026, §4.2–4.4</x:v>
      </x:c>
      <x:c r="M87" s="11" t="n">
        <x:f>IF(AND(E87="Concluída",H87&lt;&gt;""),F87,0)</x:f>
        <x:v>0</x:v>
      </x:c>
      <x:c r="N87" s="11" t="n">
        <x:f>F87*G87</x:f>
        <x:v>0</x:v>
      </x:c>
    </x:row>
    <x:row r="88" ht="72" customHeight="1">
      <x:c r="A88" s="10" t="str">
        <x:v>BK-082</x:v>
      </x:c>
      <x:c r="B88" s="10" t="str">
        <x:v>07 Estoque, produção e compras</x:v>
      </x:c>
      <x:c r="C88" s="10" t="str">
        <x:v>Avaliar necessidade e cobertura temporal das compras</x:v>
      </x:c>
      <x:c r="D88" s="10" t="str">
        <x:v>Desenvolvimento</x:v>
      </x:c>
      <x:c r="E88" s="12" t="str">
        <x:v>Não iniciada</x:v>
      </x:c>
      <x:c r="F88" s="18" t="n">
        <x:v>1</x:v>
      </x:c>
      <x:c r="G88" s="16" t="n">
        <x:v>0</x:v>
      </x:c>
      <x:c r="H88" s="12" t="str"/>
      <x:c r="I88" s="10" t="str">
        <x:v>Engenharia</x:v>
      </x:c>
      <x:c r="J88" s="10" t="str">
        <x:v>BK-077, BK-008, BK-094</x:v>
      </x:c>
      <x:c r="K88" s="10" t="str">
        <x:v>F-04</x:v>
      </x:c>
      <x:c r="L88" s="10" t="str">
        <x:v>M-042; Q_CEI_Tela_11; Fechamento vigente 13/09/2026, §3.1–3.2</x:v>
      </x:c>
      <x:c r="M88" s="10" t="n">
        <x:f>IF(AND(E88="Concluída",H88&lt;&gt;""),F88,0)</x:f>
        <x:v>0</x:v>
      </x:c>
      <x:c r="N88" s="10" t="n">
        <x:f>F88*G88</x:f>
        <x:v>0</x:v>
      </x:c>
    </x:row>
    <x:row r="89" ht="72" customHeight="1">
      <x:c r="A89" s="11" t="str">
        <x:v>BK-083</x:v>
      </x:c>
      <x:c r="B89" s="11" t="str">
        <x:v>07 Estoque, produção e compras</x:v>
      </x:c>
      <x:c r="C89" s="11" t="str">
        <x:v>Implementar preço faturado e prazo histórico de compras</x:v>
      </x:c>
      <x:c r="D89" s="11" t="str">
        <x:v>Desenvolvimento</x:v>
      </x:c>
      <x:c r="E89" s="12" t="str">
        <x:v>Não iniciada</x:v>
      </x:c>
      <x:c r="F89" s="18" t="n">
        <x:v>1</x:v>
      </x:c>
      <x:c r="G89" s="17" t="n">
        <x:v>0</x:v>
      </x:c>
      <x:c r="H89" s="12" t="str"/>
      <x:c r="I89" s="11" t="str">
        <x:v>Engenharia</x:v>
      </x:c>
      <x:c r="J89" s="11" t="str">
        <x:v>BK-048, BK-008</x:v>
      </x:c>
      <x:c r="K89" s="11" t="str">
        <x:v>F-05</x:v>
      </x:c>
      <x:c r="L89" s="11" t="str">
        <x:v>M-043; H_Contrato_Dados!A19:H20</x:v>
      </x:c>
      <x:c r="M89" s="11" t="n">
        <x:f>IF(AND(E89="Concluída",H89&lt;&gt;""),F89,0)</x:f>
        <x:v>0</x:v>
      </x:c>
      <x:c r="N89" s="11" t="n">
        <x:f>F89*G89</x:f>
        <x:v>0</x:v>
      </x:c>
    </x:row>
    <x:row r="90" ht="72" customHeight="1">
      <x:c r="A90" s="10" t="str">
        <x:v>BK-084</x:v>
      </x:c>
      <x:c r="B90" s="10" t="str">
        <x:v>07 Estoque, produção e compras</x:v>
      </x:c>
      <x:c r="C90" s="10" t="str">
        <x:v>Calcular necessidade líquida e prioridade operacional de compra</x:v>
      </x:c>
      <x:c r="D90" s="10" t="str">
        <x:v>Desenvolvimento</x:v>
      </x:c>
      <x:c r="E90" s="12" t="str">
        <x:v>Não iniciada</x:v>
      </x:c>
      <x:c r="F90" s="18" t="n">
        <x:v>1</x:v>
      </x:c>
      <x:c r="G90" s="16" t="n">
        <x:v>0</x:v>
      </x:c>
      <x:c r="H90" s="12" t="str"/>
      <x:c r="I90" s="10" t="str">
        <x:v>Engenharia</x:v>
      </x:c>
      <x:c r="J90" s="10" t="str">
        <x:v>BK-082, BK-083, BK-008</x:v>
      </x:c>
      <x:c r="K90" s="10" t="str">
        <x:v>F-04,F-05,F-06</x:v>
      </x:c>
      <x:c r="L90" s="10" t="str">
        <x:v>L-15,L-17,L-18; Q_CEI_Tela_11; Fechamento vigente 13/09/2026, §3.1–3.3</x:v>
      </x:c>
      <x:c r="M90" s="10" t="n">
        <x:f>IF(AND(E90="Concluída",H90&lt;&gt;""),F90,0)</x:f>
        <x:v>0</x:v>
      </x:c>
      <x:c r="N90" s="10" t="n">
        <x:f>F90*G90</x:f>
        <x:v>0</x:v>
      </x:c>
    </x:row>
    <x:row r="91" ht="72" customHeight="1">
      <x:c r="A91" s="11" t="str">
        <x:v>BK-085</x:v>
      </x:c>
      <x:c r="B91" s="11" t="str">
        <x:v>07 Estoque, produção e compras</x:v>
      </x:c>
      <x:c r="C91" s="11" t="str">
        <x:v>Implementar sinais externos do cacau</x:v>
      </x:c>
      <x:c r="D91" s="11" t="str">
        <x:v>Desenvolvimento</x:v>
      </x:c>
      <x:c r="E91" s="12" t="str">
        <x:v>Não iniciada</x:v>
      </x:c>
      <x:c r="F91" s="18" t="n">
        <x:v>1</x:v>
      </x:c>
      <x:c r="G91" s="17" t="n">
        <x:v>0</x:v>
      </x:c>
      <x:c r="H91" s="12" t="str"/>
      <x:c r="I91" s="11" t="str">
        <x:v>Engenharia</x:v>
      </x:c>
      <x:c r="J91" s="11" t="str">
        <x:v>BK-011, BK-039, BK-036, BK-083</x:v>
      </x:c>
      <x:c r="K91" s="11" t="str">
        <x:v>R-14,HT-10,F-07</x:v>
      </x:c>
      <x:c r="L91" s="11" t="str">
        <x:v>M-044; Q_CEI_Tela_11; Consolidação 13/09/2026, pendência 10; Fechamento vigente 13/09/2026, §3.4</x:v>
      </x:c>
      <x:c r="M91" s="11" t="n">
        <x:f>IF(AND(E91="Concluída",H91&lt;&gt;""),F91,0)</x:f>
        <x:v>0</x:v>
      </x:c>
      <x:c r="N91" s="11" t="n">
        <x:f>F91*G91</x:f>
        <x:v>0</x:v>
      </x:c>
    </x:row>
    <x:row r="92" ht="72" customHeight="1">
      <x:c r="A92" s="10" t="str">
        <x:v>BK-086</x:v>
      </x:c>
      <x:c r="B92" s="10" t="str">
        <x:v>07 Estoque, produção e compras</x:v>
      </x:c>
      <x:c r="C92" s="10" t="str">
        <x:v>Implementar T11 Compras para consulta</x:v>
      </x:c>
      <x:c r="D92" s="10" t="str">
        <x:v>Desenvolvimento</x:v>
      </x:c>
      <x:c r="E92" s="12" t="str">
        <x:v>Não iniciada</x:v>
      </x:c>
      <x:c r="F92" s="18" t="n">
        <x:v>1</x:v>
      </x:c>
      <x:c r="G92" s="16" t="n">
        <x:v>0</x:v>
      </x:c>
      <x:c r="H92" s="12" t="str"/>
      <x:c r="I92" s="10" t="str">
        <x:v>Engenharia</x:v>
      </x:c>
      <x:c r="J92" s="10" t="str">
        <x:v>BK-004, BK-084, BK-028</x:v>
      </x:c>
      <x:c r="K92" s="10" t="str">
        <x:v>F-05,F-07</x:v>
      </x:c>
      <x:c r="L92" s="10" t="str">
        <x:v>Q_CEI_Tela_11; T-CEI11-01..12; Fechamento vigente 13/09/2026, §§3.4,5</x:v>
      </x:c>
      <x:c r="M92" s="10" t="n">
        <x:f>IF(AND(E92="Concluída",H92&lt;&gt;""),F92,0)</x:f>
        <x:v>0</x:v>
      </x:c>
      <x:c r="N92" s="10" t="n">
        <x:f>F92*G92</x:f>
        <x:v>0</x:v>
      </x:c>
    </x:row>
    <x:row r="93" ht="72" customHeight="1">
      <x:c r="A93" s="11" t="str">
        <x:v>BK-087</x:v>
      </x:c>
      <x:c r="B93" s="11" t="str">
        <x:v>08 Projeções e cenários</x:v>
      </x:c>
      <x:c r="C93" s="11" t="str">
        <x:v>Preparar histórico de vendas por SKU para projeções</x:v>
      </x:c>
      <x:c r="D93" s="11" t="str">
        <x:v>Desenvolvimento</x:v>
      </x:c>
      <x:c r="E93" s="12" t="str">
        <x:v>Não iniciada</x:v>
      </x:c>
      <x:c r="F93" s="18" t="n">
        <x:v>1</x:v>
      </x:c>
      <x:c r="G93" s="17" t="n">
        <x:v>0</x:v>
      </x:c>
      <x:c r="H93" s="12" t="str"/>
      <x:c r="I93" s="11" t="str">
        <x:v>Engenharia</x:v>
      </x:c>
      <x:c r="J93" s="11" t="str">
        <x:v>BK-045, BK-009, BK-023</x:v>
      </x:c>
      <x:c r="K93" s="11" t="str">
        <x:v>R-13,HT-09,F-12</x:v>
      </x:c>
      <x:c r="L93" s="11" t="str">
        <x:v>R_CEI_Tela_12; Consolidação 13/09/2026, pendência 9</x:v>
      </x:c>
      <x:c r="M93" s="11" t="n">
        <x:f>IF(AND(E93="Concluída",H93&lt;&gt;""),F93,0)</x:f>
        <x:v>0</x:v>
      </x:c>
      <x:c r="N93" s="11" t="n">
        <x:f>F93*G93</x:f>
        <x:v>0</x:v>
      </x:c>
    </x:row>
    <x:row r="94" ht="72" customHeight="1">
      <x:c r="A94" s="10" t="str">
        <x:v>BK-088</x:v>
      </x:c>
      <x:c r="B94" s="10" t="str">
        <x:v>08 Projeções e cenários</x:v>
      </x:c>
      <x:c r="C94" s="10" t="str">
        <x:v>Implementar calendário sazonal versionado</x:v>
      </x:c>
      <x:c r="D94" s="10" t="str">
        <x:v>Desenvolvimento</x:v>
      </x:c>
      <x:c r="E94" s="12" t="str">
        <x:v>Não iniciada</x:v>
      </x:c>
      <x:c r="F94" s="18" t="n">
        <x:v>1</x:v>
      </x:c>
      <x:c r="G94" s="16" t="n">
        <x:v>0</x:v>
      </x:c>
      <x:c r="H94" s="12" t="str"/>
      <x:c r="I94" s="10" t="str">
        <x:v>Engenharia</x:v>
      </x:c>
      <x:c r="J94" s="10" t="str">
        <x:v>BK-009, BK-036</x:v>
      </x:c>
      <x:c r="K94" s="10" t="str"/>
      <x:c r="L94" s="10" t="str">
        <x:v>H_Contrato_Dados!A23:H23; T12</x:v>
      </x:c>
      <x:c r="M94" s="10" t="n">
        <x:f>IF(AND(E94="Concluída",H94&lt;&gt;""),F94,0)</x:f>
        <x:v>0</x:v>
      </x:c>
      <x:c r="N94" s="10" t="n">
        <x:f>F94*G94</x:f>
        <x:v>0</x:v>
      </x:c>
    </x:row>
    <x:row r="95" ht="72" customHeight="1">
      <x:c r="A95" s="11" t="str">
        <x:v>BK-089</x:v>
      </x:c>
      <x:c r="B95" s="11" t="str">
        <x:v>08 Projeções e cenários</x:v>
      </x:c>
      <x:c r="C95" s="11" t="str">
        <x:v>Construir e comparar modelos de projeção</x:v>
      </x:c>
      <x:c r="D95" s="11" t="str">
        <x:v>Desenvolvimento</x:v>
      </x:c>
      <x:c r="E95" s="12" t="str">
        <x:v>Não iniciada</x:v>
      </x:c>
      <x:c r="F95" s="18" t="n">
        <x:v>1</x:v>
      </x:c>
      <x:c r="G95" s="17" t="n">
        <x:v>0</x:v>
      </x:c>
      <x:c r="H95" s="12" t="str"/>
      <x:c r="I95" s="11" t="str">
        <x:v>Engenharia</x:v>
      </x:c>
      <x:c r="J95" s="11" t="str">
        <x:v>BK-087, BK-088, BK-023</x:v>
      </x:c>
      <x:c r="K95" s="11" t="str">
        <x:v>F-12</x:v>
      </x:c>
      <x:c r="L95" s="11" t="str">
        <x:v>M-046; R_CEI_Tela_12</x:v>
      </x:c>
      <x:c r="M95" s="11" t="n">
        <x:f>IF(AND(E95="Concluída",H95&lt;&gt;""),F95,0)</x:f>
        <x:v>0</x:v>
      </x:c>
      <x:c r="N95" s="11" t="n">
        <x:f>F95*G95</x:f>
        <x:v>0</x:v>
      </x:c>
    </x:row>
    <x:row r="96" ht="72" customHeight="1">
      <x:c r="A96" s="10" t="str">
        <x:v>BK-090</x:v>
      </x:c>
      <x:c r="B96" s="10" t="str">
        <x:v>08 Projeções e cenários</x:v>
      </x:c>
      <x:c r="C96" s="10" t="str">
        <x:v>Validar WAPE, Bias e MASE sem vazamento temporal</x:v>
      </x:c>
      <x:c r="D96" s="10" t="str">
        <x:v>Desenvolvimento</x:v>
      </x:c>
      <x:c r="E96" s="12" t="str">
        <x:v>Não iniciada</x:v>
      </x:c>
      <x:c r="F96" s="18" t="n">
        <x:v>1</x:v>
      </x:c>
      <x:c r="G96" s="16" t="n">
        <x:v>0</x:v>
      </x:c>
      <x:c r="H96" s="12" t="str"/>
      <x:c r="I96" s="10" t="str">
        <x:v>Engenharia</x:v>
      </x:c>
      <x:c r="J96" s="10" t="str">
        <x:v>BK-089, BK-009</x:v>
      </x:c>
      <x:c r="K96" s="10" t="str">
        <x:v>R-13,HT-09,F-12</x:v>
      </x:c>
      <x:c r="L96" s="10" t="str">
        <x:v>L-20; T-CEI12-01,02,10; Consolidação 13/09/2026, pendência 9</x:v>
      </x:c>
      <x:c r="M96" s="10" t="n">
        <x:f>IF(AND(E96="Concluída",H96&lt;&gt;""),F96,0)</x:f>
        <x:v>0</x:v>
      </x:c>
      <x:c r="N96" s="10" t="n">
        <x:f>F96*G96</x:f>
        <x:v>0</x:v>
      </x:c>
    </x:row>
    <x:row r="97" ht="72" customHeight="1">
      <x:c r="A97" s="11" t="str">
        <x:v>BK-091</x:v>
      </x:c>
      <x:c r="B97" s="11" t="str">
        <x:v>08 Projeções e cenários</x:v>
      </x:c>
      <x:c r="C97" s="11" t="str">
        <x:v>Implementar forecast e metas explícitas como planejamento distinto</x:v>
      </x:c>
      <x:c r="D97" s="11" t="str">
        <x:v>Desenvolvimento</x:v>
      </x:c>
      <x:c r="E97" s="12" t="str">
        <x:v>Não iniciada</x:v>
      </x:c>
      <x:c r="F97" s="18" t="n">
        <x:v>1</x:v>
      </x:c>
      <x:c r="G97" s="17" t="n">
        <x:v>0</x:v>
      </x:c>
      <x:c r="H97" s="12" t="str"/>
      <x:c r="I97" s="11" t="str">
        <x:v>Engenharia</x:v>
      </x:c>
      <x:c r="J97" s="11" t="str">
        <x:v>BK-090, BK-009, BK-079</x:v>
      </x:c>
      <x:c r="K97" s="11" t="str">
        <x:v>F-11</x:v>
      </x:c>
      <x:c r="L97" s="11" t="str">
        <x:v>M-048; L-21; R_CEI_Tela_12; Fechamento vigente 13/09/2026, §4.6</x:v>
      </x:c>
      <x:c r="M97" s="11" t="n">
        <x:f>IF(AND(E97="Concluída",H97&lt;&gt;""),F97,0)</x:f>
        <x:v>0</x:v>
      </x:c>
      <x:c r="N97" s="11" t="n">
        <x:f>F97*G97</x:f>
        <x:v>0</x:v>
      </x:c>
    </x:row>
    <x:row r="98" ht="72" customHeight="1">
      <x:c r="A98" s="10" t="str">
        <x:v>BK-092</x:v>
      </x:c>
      <x:c r="B98" s="10" t="str">
        <x:v>08 Projeções e cenários</x:v>
      </x:c>
      <x:c r="C98" s="10" t="str">
        <x:v>Implementar produção projetada a partir das vendas</x:v>
      </x:c>
      <x:c r="D98" s="10" t="str">
        <x:v>Desenvolvimento</x:v>
      </x:c>
      <x:c r="E98" s="12" t="str">
        <x:v>Não iniciada</x:v>
      </x:c>
      <x:c r="F98" s="18" t="n">
        <x:v>1</x:v>
      </x:c>
      <x:c r="G98" s="16" t="n">
        <x:v>0</x:v>
      </x:c>
      <x:c r="H98" s="12" t="str"/>
      <x:c r="I98" s="10" t="str">
        <x:v>Engenharia</x:v>
      </x:c>
      <x:c r="J98" s="10" t="str">
        <x:v>BK-091, BK-009, BK-048, BK-077</x:v>
      </x:c>
      <x:c r="K98" s="10" t="str">
        <x:v>Q-11,F-10</x:v>
      </x:c>
      <x:c r="L98" s="10" t="str">
        <x:v>M-047; R_CEI_Tela_12; Fechamento vigente 13/09/2026, §4.5</x:v>
      </x:c>
      <x:c r="M98" s="10" t="n">
        <x:f>IF(AND(E98="Concluída",H98&lt;&gt;""),F98,0)</x:f>
        <x:v>0</x:v>
      </x:c>
      <x:c r="N98" s="10" t="n">
        <x:f>F98*G98</x:f>
        <x:v>0</x:v>
      </x:c>
    </x:row>
    <x:row r="99" ht="72" customHeight="1">
      <x:c r="A99" s="11" t="str">
        <x:v>BK-093</x:v>
      </x:c>
      <x:c r="B99" s="11" t="str">
        <x:v>08 Projeções e cenários</x:v>
      </x:c>
      <x:c r="C99" s="11" t="str">
        <x:v>Implementar evolução do estoque projetado</x:v>
      </x:c>
      <x:c r="D99" s="11" t="str">
        <x:v>Desenvolvimento</x:v>
      </x:c>
      <x:c r="E99" s="12" t="str">
        <x:v>Não iniciada</x:v>
      </x:c>
      <x:c r="F99" s="18" t="n">
        <x:v>1</x:v>
      </x:c>
      <x:c r="G99" s="17" t="n">
        <x:v>0</x:v>
      </x:c>
      <x:c r="H99" s="12" t="str"/>
      <x:c r="I99" s="11" t="str">
        <x:v>Engenharia</x:v>
      </x:c>
      <x:c r="J99" s="11" t="str">
        <x:v>BK-092, BK-048</x:v>
      </x:c>
      <x:c r="K99" s="11" t="str">
        <x:v>F-10</x:v>
      </x:c>
      <x:c r="L99" s="11" t="str">
        <x:v>M-047; H_Contrato_Dados!A28:H28; Fechamento vigente 13/09/2026, §4.5</x:v>
      </x:c>
      <x:c r="M99" s="11" t="n">
        <x:f>IF(AND(E99="Concluída",H99&lt;&gt;""),F99,0)</x:f>
        <x:v>0</x:v>
      </x:c>
      <x:c r="N99" s="11" t="n">
        <x:f>F99*G99</x:f>
        <x:v>0</x:v>
      </x:c>
    </x:row>
    <x:row r="100" ht="72" customHeight="1">
      <x:c r="A100" s="10" t="str">
        <x:v>BK-094</x:v>
      </x:c>
      <x:c r="B100" s="10" t="str">
        <x:v>08 Projeções e cenários</x:v>
      </x:c>
      <x:c r="C100" s="10" t="str">
        <x:v>Implementar necessidade de insumos e OP Projetada</x:v>
      </x:c>
      <x:c r="D100" s="10" t="str">
        <x:v>Desenvolvimento</x:v>
      </x:c>
      <x:c r="E100" s="12" t="str">
        <x:v>Não iniciada</x:v>
      </x:c>
      <x:c r="F100" s="18" t="n">
        <x:v>1</x:v>
      </x:c>
      <x:c r="G100" s="16" t="n">
        <x:v>0</x:v>
      </x:c>
      <x:c r="H100" s="12" t="str"/>
      <x:c r="I100" s="10" t="str">
        <x:v>Engenharia</x:v>
      </x:c>
      <x:c r="J100" s="10" t="str">
        <x:v>BK-092, BK-048, BK-009</x:v>
      </x:c>
      <x:c r="K100" s="10" t="str">
        <x:v>Q-24,R-11,HT-07,F-04,F-10</x:v>
      </x:c>
      <x:c r="L100" s="10" t="str">
        <x:v>H_Contrato_Dados!A12:H12; R_CEI_Tela_12; Consolidação 13/09/2026, §11; pendência 7; Fechamento vigente 13/09/2026, §3.1,4.5</x:v>
      </x:c>
      <x:c r="M100" s="10" t="n">
        <x:f>IF(AND(E100="Concluída",H100&lt;&gt;""),F100,0)</x:f>
        <x:v>0</x:v>
      </x:c>
      <x:c r="N100" s="10" t="n">
        <x:f>F100*G100</x:f>
        <x:v>0</x:v>
      </x:c>
    </x:row>
    <x:row r="101" ht="72" customHeight="1">
      <x:c r="A101" s="11" t="str">
        <x:v>BK-095</x:v>
      </x:c>
      <x:c r="B101" s="11" t="str">
        <x:v>08 Projeções e cenários</x:v>
      </x:c>
      <x:c r="C101" s="11" t="str">
        <x:v>Implementar resumo financeiro dos cenários</x:v>
      </x:c>
      <x:c r="D101" s="11" t="str">
        <x:v>Desenvolvimento</x:v>
      </x:c>
      <x:c r="E101" s="12" t="str">
        <x:v>Não iniciada</x:v>
      </x:c>
      <x:c r="F101" s="18" t="n">
        <x:v>1</x:v>
      </x:c>
      <x:c r="G101" s="17" t="n">
        <x:v>0</x:v>
      </x:c>
      <x:c r="H101" s="12" t="str"/>
      <x:c r="I101" s="11" t="str">
        <x:v>Engenharia</x:v>
      </x:c>
      <x:c r="J101" s="11" t="str">
        <x:v>BK-091, BK-093, BK-064</x:v>
      </x:c>
      <x:c r="K101" s="11" t="str">
        <x:v>Q-25,F-11</x:v>
      </x:c>
      <x:c r="L101" s="11" t="str">
        <x:v>T12 aba Resumo financeiro; R_CEI_Tela_12; Fechamento vigente 13/09/2026, §4.6</x:v>
      </x:c>
      <x:c r="M101" s="11" t="n">
        <x:f>IF(AND(E101="Concluída",H101&lt;&gt;""),F101,0)</x:f>
        <x:v>0</x:v>
      </x:c>
      <x:c r="N101" s="11" t="n">
        <x:f>F101*G101</x:f>
        <x:v>0</x:v>
      </x:c>
    </x:row>
    <x:row r="102" ht="72" customHeight="1">
      <x:c r="A102" s="10" t="str">
        <x:v>BK-096</x:v>
      </x:c>
      <x:c r="B102" s="10" t="str">
        <x:v>08 Projeções e cenários</x:v>
      </x:c>
      <x:c r="C102" s="10" t="str">
        <x:v>Implementar T12 Projeções e ajuste de metas</x:v>
      </x:c>
      <x:c r="D102" s="10" t="str">
        <x:v>Desenvolvimento</x:v>
      </x:c>
      <x:c r="E102" s="12" t="str">
        <x:v>Não iniciada</x:v>
      </x:c>
      <x:c r="F102" s="18" t="n">
        <x:v>1</x:v>
      </x:c>
      <x:c r="G102" s="16" t="n">
        <x:v>0</x:v>
      </x:c>
      <x:c r="H102" s="12" t="str"/>
      <x:c r="I102" s="10" t="str">
        <x:v>Engenharia</x:v>
      </x:c>
      <x:c r="J102" s="10" t="str">
        <x:v>BK-090, BK-091, BK-093, BK-094, BK-095, BK-028</x:v>
      </x:c>
      <x:c r="K102" s="10" t="str">
        <x:v>F-11</x:v>
      </x:c>
      <x:c r="L102" s="10" t="str">
        <x:v>T12; R_CEI_Tela_12; Fechamento vigente 13/09/2026, §§4–5</x:v>
      </x:c>
      <x:c r="M102" s="10" t="n">
        <x:f>IF(AND(E102="Concluída",H102&lt;&gt;""),F102,0)</x:f>
        <x:v>0</x:v>
      </x:c>
      <x:c r="N102" s="10" t="n">
        <x:f>F102*G102</x:f>
        <x:v>0</x:v>
      </x:c>
    </x:row>
    <x:row r="103" ht="72" customHeight="1">
      <x:c r="A103" s="11" t="str">
        <x:v>BK-097</x:v>
      </x:c>
      <x:c r="B103" s="11" t="str">
        <x:v>08 Projeções e cenários</x:v>
      </x:c>
      <x:c r="C103" s="11" t="str">
        <x:v>Exportar o cenário de projeções para Excel</x:v>
      </x:c>
      <x:c r="D103" s="11" t="str">
        <x:v>Desenvolvimento</x:v>
      </x:c>
      <x:c r="E103" s="12" t="str">
        <x:v>Não iniciada</x:v>
      </x:c>
      <x:c r="F103" s="18" t="n">
        <x:v>1</x:v>
      </x:c>
      <x:c r="G103" s="17" t="n">
        <x:v>0</x:v>
      </x:c>
      <x:c r="H103" s="12" t="str"/>
      <x:c r="I103" s="11" t="str">
        <x:v>Engenharia</x:v>
      </x:c>
      <x:c r="J103" s="11" t="str">
        <x:v>BK-096, BK-033</x:v>
      </x:c>
      <x:c r="K103" s="11" t="str">
        <x:v>F-14</x:v>
      </x:c>
      <x:c r="L103" s="11" t="str">
        <x:v>M-049; R_CEI_Tela_12; T-CEI12-11..13</x:v>
      </x:c>
      <x:c r="M103" s="11" t="n">
        <x:f>IF(AND(E103="Concluída",H103&lt;&gt;""),F103,0)</x:f>
        <x:v>0</x:v>
      </x:c>
      <x:c r="N103" s="11" t="n">
        <x:f>F103*G103</x:f>
        <x:v>0</x:v>
      </x:c>
    </x:row>
    <x:row r="104" ht="72" customHeight="1">
      <x:c r="A104" s="10" t="str">
        <x:v>BK-098</x:v>
      </x:c>
      <x:c r="B104" s="10" t="str">
        <x:v>09 Controle e visão executiva</x:v>
      </x:c>
      <x:c r="C104" s="10" t="str">
        <x:v>Implementar registro único de pendências</x:v>
      </x:c>
      <x:c r="D104" s="10" t="str">
        <x:v>Desenvolvimento</x:v>
      </x:c>
      <x:c r="E104" s="12" t="str">
        <x:v>Não iniciada</x:v>
      </x:c>
      <x:c r="F104" s="18" t="n">
        <x:v>1</x:v>
      </x:c>
      <x:c r="G104" s="16" t="n">
        <x:v>0</x:v>
      </x:c>
      <x:c r="H104" s="12" t="str"/>
      <x:c r="I104" s="10" t="str">
        <x:v>Engenharia</x:v>
      </x:c>
      <x:c r="J104" s="10" t="str">
        <x:v>BK-038, BK-012, BK-034</x:v>
      </x:c>
      <x:c r="K104" s="10" t="str">
        <x:v>F-16</x:v>
      </x:c>
      <x:c r="L104" s="10" t="str">
        <x:v>M-051,M-054; S_CEI_Tela_13; Consolidação 13/09/2026, §§2–7</x:v>
      </x:c>
      <x:c r="M104" s="10" t="n">
        <x:f>IF(AND(E104="Concluída",H104&lt;&gt;""),F104,0)</x:f>
        <x:v>0</x:v>
      </x:c>
      <x:c r="N104" s="10" t="n">
        <x:f>F104*G104</x:f>
        <x:v>0</x:v>
      </x:c>
    </x:row>
    <x:row r="105" ht="72" customHeight="1">
      <x:c r="A105" s="11" t="str">
        <x:v>BK-099</x:v>
      </x:c>
      <x:c r="B105" s="11" t="str">
        <x:v>09 Controle e visão executiva</x:v>
      </x:c>
      <x:c r="C105" s="11" t="str">
        <x:v>Implementar T13 Lançamentos e Pendências</x:v>
      </x:c>
      <x:c r="D105" s="11" t="str">
        <x:v>Desenvolvimento</x:v>
      </x:c>
      <x:c r="E105" s="12" t="str">
        <x:v>Não iniciada</x:v>
      </x:c>
      <x:c r="F105" s="18" t="n">
        <x:v>1</x:v>
      </x:c>
      <x:c r="G105" s="17" t="n">
        <x:v>0</x:v>
      </x:c>
      <x:c r="H105" s="12" t="str"/>
      <x:c r="I105" s="11" t="str">
        <x:v>Engenharia</x:v>
      </x:c>
      <x:c r="J105" s="11" t="str">
        <x:v>BK-098, BK-028, BK-033</x:v>
      </x:c>
      <x:c r="K105" s="11" t="str"/>
      <x:c r="L105" s="11" t="str">
        <x:v>T13; S_CEI_Tela_13</x:v>
      </x:c>
      <x:c r="M105" s="11" t="n">
        <x:f>IF(AND(E105="Concluída",H105&lt;&gt;""),F105,0)</x:f>
        <x:v>0</x:v>
      </x:c>
      <x:c r="N105" s="11" t="n">
        <x:f>F105*G105</x:f>
        <x:v>0</x:v>
      </x:c>
    </x:row>
    <x:row r="106" ht="72" customHeight="1">
      <x:c r="A106" s="10" t="str">
        <x:v>BK-100</x:v>
      </x:c>
      <x:c r="B106" s="10" t="str">
        <x:v>09 Controle e visão executiva</x:v>
      </x:c>
      <x:c r="C106" s="10" t="str">
        <x:v>Implementar eventos de alerta com regra única de origem</x:v>
      </x:c>
      <x:c r="D106" s="10" t="str">
        <x:v>Desenvolvimento</x:v>
      </x:c>
      <x:c r="E106" s="12" t="str">
        <x:v>Não iniciada</x:v>
      </x:c>
      <x:c r="F106" s="18" t="n">
        <x:v>1</x:v>
      </x:c>
      <x:c r="G106" s="16" t="n">
        <x:v>0</x:v>
      </x:c>
      <x:c r="H106" s="12" t="str"/>
      <x:c r="I106" s="10" t="str">
        <x:v>Engenharia</x:v>
      </x:c>
      <x:c r="J106" s="10" t="str">
        <x:v>BK-098, BK-051, BK-077, BK-060, BK-012</x:v>
      </x:c>
      <x:c r="K106" s="10" t="str"/>
      <x:c r="L106" s="10" t="str">
        <x:v>M-052,M-054; T_CEI_Tela_14</x:v>
      </x:c>
      <x:c r="M106" s="10" t="n">
        <x:f>IF(AND(E106="Concluída",H106&lt;&gt;""),F106,0)</x:f>
        <x:v>0</x:v>
      </x:c>
      <x:c r="N106" s="10" t="n">
        <x:f>F106*G106</x:f>
        <x:v>0</x:v>
      </x:c>
    </x:row>
    <x:row r="107" ht="72" customHeight="1">
      <x:c r="A107" s="11" t="str">
        <x:v>BK-101</x:v>
      </x:c>
      <x:c r="B107" s="11" t="str">
        <x:v>09 Controle e visão executiva</x:v>
      </x:c>
      <x:c r="C107" s="11" t="str">
        <x:v>Implementar T14 Alertas</x:v>
      </x:c>
      <x:c r="D107" s="11" t="str">
        <x:v>Desenvolvimento</x:v>
      </x:c>
      <x:c r="E107" s="12" t="str">
        <x:v>Não iniciada</x:v>
      </x:c>
      <x:c r="F107" s="18" t="n">
        <x:v>1</x:v>
      </x:c>
      <x:c r="G107" s="17" t="n">
        <x:v>0</x:v>
      </x:c>
      <x:c r="H107" s="12" t="str"/>
      <x:c r="I107" s="11" t="str">
        <x:v>Engenharia</x:v>
      </x:c>
      <x:c r="J107" s="11" t="str">
        <x:v>BK-100, BK-028</x:v>
      </x:c>
      <x:c r="K107" s="11" t="str"/>
      <x:c r="L107" s="11" t="str">
        <x:v>T14; T_CEI_Tela_14</x:v>
      </x:c>
      <x:c r="M107" s="11" t="n">
        <x:f>IF(AND(E107="Concluída",H107&lt;&gt;""),F107,0)</x:f>
        <x:v>0</x:v>
      </x:c>
      <x:c r="N107" s="11" t="n">
        <x:f>F107*G107</x:f>
        <x:v>0</x:v>
      </x:c>
    </x:row>
    <x:row r="108" ht="72" customHeight="1">
      <x:c r="A108" s="10" t="str">
        <x:v>BK-102</x:v>
      </x:c>
      <x:c r="B108" s="10" t="str">
        <x:v>09 Controle e visão executiva</x:v>
      </x:c>
      <x:c r="C108" s="10" t="str">
        <x:v>Implementar T01 Visão Executiva</x:v>
      </x:c>
      <x:c r="D108" s="10" t="str">
        <x:v>Desenvolvimento</x:v>
      </x:c>
      <x:c r="E108" s="12" t="str">
        <x:v>Não iniciada</x:v>
      </x:c>
      <x:c r="F108" s="18" t="n">
        <x:v>1</x:v>
      </x:c>
      <x:c r="G108" s="16" t="n">
        <x:v>0</x:v>
      </x:c>
      <x:c r="H108" s="12" t="str"/>
      <x:c r="I108" s="10" t="str">
        <x:v>Engenharia</x:v>
      </x:c>
      <x:c r="J108" s="10" t="str">
        <x:v>BK-004, BK-062, BK-067, BK-078, BK-081, BK-096, BK-101</x:v>
      </x:c>
      <x:c r="K108" s="10" t="str">
        <x:v>Q-02,F-08</x:v>
      </x:c>
      <x:c r="L108" s="10" t="str">
        <x:v>Menus: Visão Executiva; Fechamento vigente 13/09/2026, §4.2,5</x:v>
      </x:c>
      <x:c r="M108" s="10" t="n">
        <x:f>IF(AND(E108="Concluída",H108&lt;&gt;""),F108,0)</x:f>
        <x:v>0</x:v>
      </x:c>
      <x:c r="N108" s="10" t="n">
        <x:f>F108*G108</x:f>
        <x:v>0</x:v>
      </x:c>
    </x:row>
    <x:row r="109" ht="72" customHeight="1">
      <x:c r="A109" s="11" t="str">
        <x:v>BK-103</x:v>
      </x:c>
      <x:c r="B109" s="11" t="str">
        <x:v>09 Controle e visão executiva</x:v>
      </x:c>
      <x:c r="C109" s="11" t="str">
        <x:v>Implementar os módulos adicionais confirmados no escopo</x:v>
      </x:c>
      <x:c r="D109" s="11" t="str">
        <x:v>Desenvolvimento</x:v>
      </x:c>
      <x:c r="E109" s="12" t="str">
        <x:v>Não iniciada</x:v>
      </x:c>
      <x:c r="F109" s="18" t="n">
        <x:v>1</x:v>
      </x:c>
      <x:c r="G109" s="17" t="n">
        <x:v>0</x:v>
      </x:c>
      <x:c r="H109" s="12" t="str"/>
      <x:c r="I109" s="11" t="str">
        <x:v>Produto + Full Stack</x:v>
      </x:c>
      <x:c r="J109" s="11" t="str">
        <x:v>BK-004, BK-021, BK-016</x:v>
      </x:c>
      <x:c r="K109" s="11" t="str">
        <x:v>Q-02</x:v>
      </x:c>
      <x:c r="L109" s="11" t="str">
        <x:v>Menus T12/T13; matriz Pricing/Logística; Fechamento vigente 13/09/2026, §5</x:v>
      </x:c>
      <x:c r="M109" s="11" t="n">
        <x:f>IF(AND(E109="Concluída",H109&lt;&gt;""),F109,0)</x:f>
        <x:v>0</x:v>
      </x:c>
      <x:c r="N109" s="11" t="n">
        <x:f>F109*G109</x:f>
        <x:v>0</x:v>
      </x:c>
    </x:row>
    <x:row r="110" ht="72" customHeight="1">
      <x:c r="A110" s="10" t="str">
        <x:v>BK-104</x:v>
      </x:c>
      <x:c r="B110" s="10" t="str">
        <x:v>10 Verificação integrada</x:v>
      </x:c>
      <x:c r="C110" s="10" t="str">
        <x:v>Implementar exportações financeiras e de controle aprovadas</x:v>
      </x:c>
      <x:c r="D110" s="10" t="str">
        <x:v>Desenvolvimento</x:v>
      </x:c>
      <x:c r="E110" s="12" t="str">
        <x:v>Não iniciada</x:v>
      </x:c>
      <x:c r="F110" s="18" t="n">
        <x:v>1</x:v>
      </x:c>
      <x:c r="G110" s="16" t="n">
        <x:v>0</x:v>
      </x:c>
      <x:c r="H110" s="12" t="str"/>
      <x:c r="I110" s="10" t="str">
        <x:v>Full Stack</x:v>
      </x:c>
      <x:c r="J110" s="10" t="str">
        <x:v>BK-012, BK-062, BK-057, BK-059, BK-055, BK-067, BK-069, BK-099, BK-101, BK-052</x:v>
      </x:c>
      <x:c r="K110" s="10" t="str">
        <x:v>F-14</x:v>
      </x:c>
      <x:c r="L110" s="10" t="str">
        <x:v>T02–T07; T13–T15; L-22; Fechamento vigente 13/09/2026, §5.7</x:v>
      </x:c>
      <x:c r="M110" s="10" t="n">
        <x:f>IF(AND(E110="Concluída",H110&lt;&gt;""),F110,0)</x:f>
        <x:v>0</x:v>
      </x:c>
      <x:c r="N110" s="10" t="n">
        <x:f>F110*G110</x:f>
        <x:v>0</x:v>
      </x:c>
    </x:row>
    <x:row r="111" ht="72" customHeight="1">
      <x:c r="A111" s="11" t="str">
        <x:v>BK-105</x:v>
      </x:c>
      <x:c r="B111" s="11" t="str">
        <x:v>10 Verificação integrada</x:v>
      </x:c>
      <x:c r="C111" s="11" t="str">
        <x:v>Rastrear cada requisito até tarefa e teste</x:v>
      </x:c>
      <x:c r="D111" s="11" t="str">
        <x:v>Qualidade</x:v>
      </x:c>
      <x:c r="E111" s="12" t="str">
        <x:v>Não iniciada</x:v>
      </x:c>
      <x:c r="F111" s="18" t="n">
        <x:v>1</x:v>
      </x:c>
      <x:c r="G111" s="17" t="n">
        <x:v>0</x:v>
      </x:c>
      <x:c r="H111" s="12" t="str"/>
      <x:c r="I111" s="11" t="str">
        <x:v>QA + Arquitetura</x:v>
      </x:c>
      <x:c r="J111" s="11" t="str">
        <x:v>BK-016, BK-019</x:v>
      </x:c>
      <x:c r="K111" s="11" t="str"/>
      <x:c r="L111" s="11" t="str">
        <x:v>A_Matriz_Mestra; H_Contrato_Dados; I_Testes; Consolidação 13/09/2026, consolidação integral; Fechamento vigente 13/09/2026, integral</x:v>
      </x:c>
      <x:c r="M111" s="11" t="n">
        <x:f>IF(AND(E111="Concluída",H111&lt;&gt;""),F111,0)</x:f>
        <x:v>0</x:v>
      </x:c>
      <x:c r="N111" s="11" t="n">
        <x:f>F111*G111</x:f>
        <x:v>0</x:v>
      </x:c>
    </x:row>
    <x:row r="112" ht="72" customHeight="1">
      <x:c r="A112" s="10" t="str">
        <x:v>BK-106</x:v>
      </x:c>
      <x:c r="B112" s="10" t="str">
        <x:v>10 Verificação integrada</x:v>
      </x:c>
      <x:c r="C112" s="10" t="str">
        <x:v>Validar regras de domínio e casos de fronteira</x:v>
      </x:c>
      <x:c r="D112" s="10" t="str">
        <x:v>Qualidade</x:v>
      </x:c>
      <x:c r="E112" s="12" t="str">
        <x:v>Não iniciada</x:v>
      </x:c>
      <x:c r="F112" s="18" t="n">
        <x:v>1</x:v>
      </x:c>
      <x:c r="G112" s="16" t="n">
        <x:v>0</x:v>
      </x:c>
      <x:c r="H112" s="12" t="str"/>
      <x:c r="I112" s="10" t="str">
        <x:v>QA + Backend</x:v>
      </x:c>
      <x:c r="J112" s="10" t="str">
        <x:v>BK-105, BK-072, BK-068, BK-084, BK-093, BK-065</x:v>
      </x:c>
      <x:c r="K112" s="10" t="str"/>
      <x:c r="L112" s="10" t="str">
        <x:v>I_Testes: catálogo previsto, ainda não executado; Consolidação 13/09/2026, §§6–12; Fechamento vigente 13/09/2026, §§2–4,6,8</x:v>
      </x:c>
      <x:c r="M112" s="10" t="n">
        <x:f>IF(AND(E112="Concluída",H112&lt;&gt;""),F112,0)</x:f>
        <x:v>0</x:v>
      </x:c>
      <x:c r="N112" s="10" t="n">
        <x:f>F112*G112</x:f>
        <x:v>0</x:v>
      </x:c>
    </x:row>
    <x:row r="113" ht="72" customHeight="1">
      <x:c r="A113" s="11" t="str">
        <x:v>BK-107</x:v>
      </x:c>
      <x:c r="B113" s="11" t="str">
        <x:v>10 Verificação integrada</x:v>
      </x:c>
      <x:c r="C113" s="11" t="str">
        <x:v>Validar integrações, concorrência e reinício</x:v>
      </x:c>
      <x:c r="D113" s="11" t="str">
        <x:v>Qualidade</x:v>
      </x:c>
      <x:c r="E113" s="12" t="str">
        <x:v>Não iniciada</x:v>
      </x:c>
      <x:c r="F113" s="18" t="n">
        <x:v>1</x:v>
      </x:c>
      <x:c r="G113" s="17" t="n">
        <x:v>0</x:v>
      </x:c>
      <x:c r="H113" s="12" t="str"/>
      <x:c r="I113" s="11" t="str">
        <x:v>QA + Integrações</x:v>
      </x:c>
      <x:c r="J113" s="11" t="str">
        <x:v>BK-052, BK-044, BK-041, BK-054</x:v>
      </x:c>
      <x:c r="K113" s="11" t="str">
        <x:v>F-20</x:v>
      </x:c>
      <x:c r="L113" s="11" t="str">
        <x:v>; Consolidação 13/09/2026, §§1–2,6–10; Fechamento vigente 13/09/2026, §§7–8</x:v>
      </x:c>
      <x:c r="M113" s="11" t="n">
        <x:f>IF(AND(E113="Concluída",H113&lt;&gt;""),F113,0)</x:f>
        <x:v>0</x:v>
      </x:c>
      <x:c r="N113" s="11" t="n">
        <x:f>F113*G113</x:f>
        <x:v>0</x:v>
      </x:c>
    </x:row>
    <x:row r="114" ht="72" customHeight="1">
      <x:c r="A114" s="10" t="str">
        <x:v>BK-108</x:v>
      </x:c>
      <x:c r="B114" s="10" t="str">
        <x:v>10 Verificação integrada</x:v>
      </x:c>
      <x:c r="C114" s="10" t="str">
        <x:v>Validar fidelidade visual e acessibilidade</x:v>
      </x:c>
      <x:c r="D114" s="10" t="str">
        <x:v>Qualidade</x:v>
      </x:c>
      <x:c r="E114" s="12" t="str">
        <x:v>Não iniciada</x:v>
      </x:c>
      <x:c r="F114" s="18" t="n">
        <x:v>1</x:v>
      </x:c>
      <x:c r="G114" s="16" t="n">
        <x:v>0</x:v>
      </x:c>
      <x:c r="H114" s="12" t="str"/>
      <x:c r="I114" s="10" t="str">
        <x:v>UX + QA</x:v>
      </x:c>
      <x:c r="J114" s="10" t="str">
        <x:v>BK-102, BK-103, BK-074, BK-075, BK-076, BK-086, BK-037, BK-035, BK-055, BK-057, BK-059, BK-069, BK-073, BK-099</x:v>
      </x:c>
      <x:c r="K114" s="10" t="str">
        <x:v>F-13</x:v>
      </x:c>
      <x:c r="L114" s="10" t="str">
        <x:v>Todas as imagens e decisões UX; Fechamento vigente 13/09/2026, §5</x:v>
      </x:c>
      <x:c r="M114" s="10" t="n">
        <x:f>IF(AND(E114="Concluída",H114&lt;&gt;""),F114,0)</x:f>
        <x:v>0</x:v>
      </x:c>
      <x:c r="N114" s="10" t="n">
        <x:f>F114*G114</x:f>
        <x:v>0</x:v>
      </x:c>
    </x:row>
    <x:row r="115" ht="72" customHeight="1">
      <x:c r="A115" s="11" t="str">
        <x:v>BK-109</x:v>
      </x:c>
      <x:c r="B115" s="11" t="str">
        <x:v>10 Verificação integrada</x:v>
      </x:c>
      <x:c r="C115" s="11" t="str">
        <x:v>Validar arquivos exportados e proteção do conteúdo</x:v>
      </x:c>
      <x:c r="D115" s="11" t="str">
        <x:v>Qualidade</x:v>
      </x:c>
      <x:c r="E115" s="12" t="str">
        <x:v>Não iniciada</x:v>
      </x:c>
      <x:c r="F115" s="18" t="n">
        <x:v>1</x:v>
      </x:c>
      <x:c r="G115" s="17" t="n">
        <x:v>0</x:v>
      </x:c>
      <x:c r="H115" s="12" t="str"/>
      <x:c r="I115" s="11" t="str">
        <x:v>QA</x:v>
      </x:c>
      <x:c r="J115" s="11" t="str">
        <x:v>BK-097, BK-086, BK-012, BK-104</x:v>
      </x:c>
      <x:c r="K115" s="11" t="str">
        <x:v>F-14</x:v>
      </x:c>
      <x:c r="L115" s="11" t="str">
        <x:v>Necessidade técnica de entrega e operação.</x:v>
      </x:c>
      <x:c r="M115" s="11" t="n">
        <x:f>IF(AND(E115="Concluída",H115&lt;&gt;""),F115,0)</x:f>
        <x:v>0</x:v>
      </x:c>
      <x:c r="N115" s="11" t="n">
        <x:f>F115*G115</x:f>
        <x:v>0</x:v>
      </x:c>
    </x:row>
    <x:row r="116" ht="72" customHeight="1">
      <x:c r="A116" s="10" t="str">
        <x:v>BK-110</x:v>
      </x:c>
      <x:c r="B116" s="10" t="str">
        <x:v>10 Verificação integrada</x:v>
      </x:c>
      <x:c r="C116" s="10" t="str">
        <x:v>Executar jornadas completas de ponta a ponta</x:v>
      </x:c>
      <x:c r="D116" s="10" t="str">
        <x:v>Qualidade</x:v>
      </x:c>
      <x:c r="E116" s="12" t="str">
        <x:v>Não iniciada</x:v>
      </x:c>
      <x:c r="F116" s="18" t="n">
        <x:v>1</x:v>
      </x:c>
      <x:c r="G116" s="16" t="n">
        <x:v>0</x:v>
      </x:c>
      <x:c r="H116" s="12" t="str"/>
      <x:c r="I116" s="10" t="str">
        <x:v>QA + Majucau</x:v>
      </x:c>
      <x:c r="J116" s="10" t="str">
        <x:v>BK-106, BK-107, BK-108, BK-109</x:v>
      </x:c>
      <x:c r="K116" s="10" t="str"/>
      <x:c r="L116" s="10" t="str">
        <x:v>; Fechamento vigente 13/09/2026, §§1–8; Fechamento vigente 13/09/2026, §8.14</x:v>
      </x:c>
      <x:c r="M116" s="10" t="n">
        <x:f>IF(AND(E116="Concluída",H116&lt;&gt;""),F116,0)</x:f>
        <x:v>0</x:v>
      </x:c>
      <x:c r="N116" s="10" t="n">
        <x:f>F116*G116</x:f>
        <x:v>0</x:v>
      </x:c>
    </x:row>
    <x:row r="117" ht="72" customHeight="1">
      <x:c r="A117" s="11" t="str">
        <x:v>BK-111</x:v>
      </x:c>
      <x:c r="B117" s="11" t="str">
        <x:v>10 Verificação integrada</x:v>
      </x:c>
      <x:c r="C117" s="11" t="str">
        <x:v>Validar controles de segurança antes da produção</x:v>
      </x:c>
      <x:c r="D117" s="11" t="str">
        <x:v>Qualidade</x:v>
      </x:c>
      <x:c r="E117" s="12" t="str">
        <x:v>Não iniciada</x:v>
      </x:c>
      <x:c r="F117" s="18" t="n">
        <x:v>1</x:v>
      </x:c>
      <x:c r="G117" s="17" t="n">
        <x:v>0</x:v>
      </x:c>
      <x:c r="H117" s="12" t="str"/>
      <x:c r="I117" s="11" t="str">
        <x:v>Segurança + QA</x:v>
      </x:c>
      <x:c r="J117" s="11" t="str">
        <x:v>BK-035, BK-037, BK-052, BK-024</x:v>
      </x:c>
      <x:c r="K117" s="11" t="str"/>
      <x:c r="L117" s="11" t="str">
        <x:v>; Consolidação 13/09/2026, §2</x:v>
      </x:c>
      <x:c r="M117" s="11" t="n">
        <x:f>IF(AND(E117="Concluída",H117&lt;&gt;""),F117,0)</x:f>
        <x:v>0</x:v>
      </x:c>
      <x:c r="N117" s="11" t="n">
        <x:f>F117*G117</x:f>
        <x:v>0</x:v>
      </x:c>
    </x:row>
    <x:row r="118" ht="72" customHeight="1">
      <x:c r="A118" s="10" t="str">
        <x:v>BK-112</x:v>
      </x:c>
      <x:c r="B118" s="10" t="str">
        <x:v>10 Verificação integrada</x:v>
      </x:c>
      <x:c r="C118" s="10" t="str">
        <x:v>Validar desempenho no hardware local</x:v>
      </x:c>
      <x:c r="D118" s="10" t="str">
        <x:v>Qualidade</x:v>
      </x:c>
      <x:c r="E118" s="12" t="str">
        <x:v>Não iniciada</x:v>
      </x:c>
      <x:c r="F118" s="18" t="n">
        <x:v>1</x:v>
      </x:c>
      <x:c r="G118" s="16" t="n">
        <x:v>0</x:v>
      </x:c>
      <x:c r="H118" s="12" t="str"/>
      <x:c r="I118" s="10" t="str">
        <x:v>Engenharia + Infraestrutura</x:v>
      </x:c>
      <x:c r="J118" s="10" t="str">
        <x:v>BK-110, BK-014, BK-023, BK-117</x:v>
      </x:c>
      <x:c r="K118" s="10" t="str"/>
      <x:c r="L118" s="10" t="str">
        <x:v>Necessidade técnica de entrega e operação.</x:v>
      </x:c>
      <x:c r="M118" s="10" t="n">
        <x:f>IF(AND(E118="Concluída",H118&lt;&gt;""),F118,0)</x:f>
        <x:v>0</x:v>
      </x:c>
      <x:c r="N118" s="10" t="n">
        <x:f>F118*G118</x:f>
        <x:v>0</x:v>
      </x:c>
    </x:row>
    <x:row r="119" ht="72" customHeight="1">
      <x:c r="A119" s="11" t="str">
        <x:v>BK-113</x:v>
      </x:c>
      <x:c r="B119" s="11" t="str">
        <x:v>10 Verificação integrada</x:v>
      </x:c>
      <x:c r="C119" s="11" t="str">
        <x:v>Homologar todos os módulos com a Majucau</x:v>
      </x:c>
      <x:c r="D119" s="11" t="str">
        <x:v>Qualidade</x:v>
      </x:c>
      <x:c r="E119" s="12" t="str">
        <x:v>Não iniciada</x:v>
      </x:c>
      <x:c r="F119" s="18" t="n">
        <x:v>1</x:v>
      </x:c>
      <x:c r="G119" s="17" t="n">
        <x:v>0</x:v>
      </x:c>
      <x:c r="H119" s="12" t="str"/>
      <x:c r="I119" s="11" t="str">
        <x:v>Majucau + QA</x:v>
      </x:c>
      <x:c r="J119" s="11" t="str">
        <x:v>BK-110, BK-111, BK-112</x:v>
      </x:c>
      <x:c r="K119" s="11" t="str"/>
      <x:c r="L119" s="11" t="str">
        <x:v>Necessidade técnica de entrega e operação.</x:v>
      </x:c>
      <x:c r="M119" s="11" t="n">
        <x:f>IF(AND(E119="Concluída",H119&lt;&gt;""),F119,0)</x:f>
        <x:v>0</x:v>
      </x:c>
      <x:c r="N119" s="11" t="n">
        <x:f>F119*G119</x:f>
        <x:v>0</x:v>
      </x:c>
    </x:row>
    <x:row r="120" ht="72" customHeight="1">
      <x:c r="A120" s="10" t="str">
        <x:v>BK-114</x:v>
      </x:c>
      <x:c r="B120" s="10" t="str">
        <x:v>11 Instalação, produção e sustentação</x:v>
      </x:c>
      <x:c r="C120" s="10" t="str">
        <x:v>Definir a topologia final da instalação local</x:v>
      </x:c>
      <x:c r="D120" s="10" t="str">
        <x:v>Desenvolvimento</x:v>
      </x:c>
      <x:c r="E120" s="12" t="str">
        <x:v>Não iniciada</x:v>
      </x:c>
      <x:c r="F120" s="18" t="n">
        <x:v>1</x:v>
      </x:c>
      <x:c r="G120" s="16" t="n">
        <x:v>0</x:v>
      </x:c>
      <x:c r="H120" s="12" t="str"/>
      <x:c r="I120" s="10" t="str">
        <x:v>Infraestrutura</x:v>
      </x:c>
      <x:c r="J120" s="10" t="str">
        <x:v>BK-014, BK-017, BK-024, BK-023</x:v>
      </x:c>
      <x:c r="K120" s="10" t="str">
        <x:v>F-17</x:v>
      </x:c>
      <x:c r="L120" s="10" t="str">
        <x:v>; Consolidação 13/09/2026, §§1–2; Fechamento vigente 13/09/2026, §7</x:v>
      </x:c>
      <x:c r="M120" s="10" t="n">
        <x:f>IF(AND(E120="Concluída",H120&lt;&gt;""),F120,0)</x:f>
        <x:v>0</x:v>
      </x:c>
      <x:c r="N120" s="10" t="n">
        <x:f>F120*G120</x:f>
        <x:v>0</x:v>
      </x:c>
    </x:row>
    <x:row r="121" ht="72" customHeight="1">
      <x:c r="A121" s="11" t="str">
        <x:v>BK-115</x:v>
      </x:c>
      <x:c r="B121" s="11" t="str">
        <x:v>11 Instalação, produção e sustentação</x:v>
      </x:c>
      <x:c r="C121" s="11" t="str">
        <x:v>Preparar o servidor e a rede local</x:v>
      </x:c>
      <x:c r="D121" s="11" t="str">
        <x:v>Desenvolvimento</x:v>
      </x:c>
      <x:c r="E121" s="12" t="str">
        <x:v>Não iniciada</x:v>
      </x:c>
      <x:c r="F121" s="18" t="n">
        <x:v>1</x:v>
      </x:c>
      <x:c r="G121" s="17" t="n">
        <x:v>0</x:v>
      </x:c>
      <x:c r="H121" s="12" t="str"/>
      <x:c r="I121" s="11" t="str">
        <x:v>Infraestrutura</x:v>
      </x:c>
      <x:c r="J121" s="11" t="str">
        <x:v>BK-114</x:v>
      </x:c>
      <x:c r="K121" s="11" t="str">
        <x:v>F-17</x:v>
      </x:c>
      <x:c r="L121" s="11" t="str">
        <x:v>Necessidade técnica de entrega e operação.</x:v>
      </x:c>
      <x:c r="M121" s="11" t="n">
        <x:f>IF(AND(E121="Concluída",H121&lt;&gt;""),F121,0)</x:f>
        <x:v>0</x:v>
      </x:c>
      <x:c r="N121" s="11" t="n">
        <x:f>F121*G121</x:f>
        <x:v>0</x:v>
      </x:c>
    </x:row>
    <x:row r="122" ht="72" customHeight="1">
      <x:c r="A122" s="10" t="str">
        <x:v>BK-116</x:v>
      </x:c>
      <x:c r="B122" s="10" t="str">
        <x:v>11 Instalação, produção e sustentação</x:v>
      </x:c>
      <x:c r="C122" s="10" t="str">
        <x:v>Gerar pacote versionado de instalação</x:v>
      </x:c>
      <x:c r="D122" s="10" t="str">
        <x:v>Desenvolvimento</x:v>
      </x:c>
      <x:c r="E122" s="12" t="str">
        <x:v>Não iniciada</x:v>
      </x:c>
      <x:c r="F122" s="18" t="n">
        <x:v>1</x:v>
      </x:c>
      <x:c r="G122" s="16" t="n">
        <x:v>0</x:v>
      </x:c>
      <x:c r="H122" s="12" t="str"/>
      <x:c r="I122" s="10" t="str">
        <x:v>Engenharia + Infraestrutura</x:v>
      </x:c>
      <x:c r="J122" s="10" t="str">
        <x:v>BK-030, BK-114</x:v>
      </x:c>
      <x:c r="K122" s="10" t="str"/>
      <x:c r="L122" s="10" t="str">
        <x:v>Necessidade técnica de entrega e operação.</x:v>
      </x:c>
      <x:c r="M122" s="10" t="n">
        <x:f>IF(AND(E122="Concluída",H122&lt;&gt;""),F122,0)</x:f>
        <x:v>0</x:v>
      </x:c>
      <x:c r="N122" s="10" t="n">
        <x:f>F122*G122</x:f>
        <x:v>0</x:v>
      </x:c>
    </x:row>
    <x:row r="123" ht="72" customHeight="1">
      <x:c r="A123" s="11" t="str">
        <x:v>BK-117</x:v>
      </x:c>
      <x:c r="B123" s="11" t="str">
        <x:v>11 Instalação, produção e sustentação</x:v>
      </x:c>
      <x:c r="C123" s="11" t="str">
        <x:v>Instalar ambiente local de homologação</x:v>
      </x:c>
      <x:c r="D123" s="11" t="str">
        <x:v>Desenvolvimento</x:v>
      </x:c>
      <x:c r="E123" s="12" t="str">
        <x:v>Não iniciada</x:v>
      </x:c>
      <x:c r="F123" s="18" t="n">
        <x:v>1</x:v>
      </x:c>
      <x:c r="G123" s="17" t="n">
        <x:v>0</x:v>
      </x:c>
      <x:c r="H123" s="12" t="str"/>
      <x:c r="I123" s="11" t="str">
        <x:v>Infraestrutura</x:v>
      </x:c>
      <x:c r="J123" s="11" t="str">
        <x:v>BK-115, BK-116</x:v>
      </x:c>
      <x:c r="K123" s="11" t="str"/>
      <x:c r="L123" s="11" t="str">
        <x:v>Necessidade técnica de entrega e operação.</x:v>
      </x:c>
      <x:c r="M123" s="11" t="n">
        <x:f>IF(AND(E123="Concluída",H123&lt;&gt;""),F123,0)</x:f>
        <x:v>0</x:v>
      </x:c>
      <x:c r="N123" s="11" t="n">
        <x:f>F123*G123</x:f>
        <x:v>0</x:v>
      </x:c>
    </x:row>
    <x:row r="124" ht="72" customHeight="1">
      <x:c r="A124" s="10" t="str">
        <x:v>BK-118</x:v>
      </x:c>
      <x:c r="B124" s="10" t="str">
        <x:v>11 Instalação, produção e sustentação</x:v>
      </x:c>
      <x:c r="C124" s="10" t="str">
        <x:v>Configurar backup de banco, arquivos e configuração</x:v>
      </x:c>
      <x:c r="D124" s="10" t="str">
        <x:v>Desenvolvimento</x:v>
      </x:c>
      <x:c r="E124" s="12" t="str">
        <x:v>Não iniciada</x:v>
      </x:c>
      <x:c r="F124" s="18" t="n">
        <x:v>1</x:v>
      </x:c>
      <x:c r="G124" s="16" t="n">
        <x:v>0</x:v>
      </x:c>
      <x:c r="H124" s="12" t="str"/>
      <x:c r="I124" s="10" t="str">
        <x:v>Infraestrutura</x:v>
      </x:c>
      <x:c r="J124" s="10" t="str">
        <x:v>BK-014, BK-117, BK-018</x:v>
      </x:c>
      <x:c r="K124" s="10" t="str">
        <x:v>R-02,F-17</x:v>
      </x:c>
      <x:c r="L124" s="10" t="str">
        <x:v>; Consolidação 13/09/2026, §2; Fechamento vigente 13/09/2026, §7.5</x:v>
      </x:c>
      <x:c r="M124" s="10" t="n">
        <x:f>IF(AND(E124="Concluída",H124&lt;&gt;""),F124,0)</x:f>
        <x:v>0</x:v>
      </x:c>
      <x:c r="N124" s="10" t="n">
        <x:f>F124*G124</x:f>
        <x:v>0</x:v>
      </x:c>
    </x:row>
    <x:row r="125" ht="72" customHeight="1">
      <x:c r="A125" s="11" t="str">
        <x:v>BK-119</x:v>
      </x:c>
      <x:c r="B125" s="11" t="str">
        <x:v>11 Instalação, produção e sustentação</x:v>
      </x:c>
      <x:c r="C125" s="11" t="str">
        <x:v>Testar restauração e recuperação do ambiente</x:v>
      </x:c>
      <x:c r="D125" s="11" t="str">
        <x:v>Qualidade</x:v>
      </x:c>
      <x:c r="E125" s="12" t="str">
        <x:v>Não iniciada</x:v>
      </x:c>
      <x:c r="F125" s="18" t="n">
        <x:v>1</x:v>
      </x:c>
      <x:c r="G125" s="17" t="n">
        <x:v>0</x:v>
      </x:c>
      <x:c r="H125" s="12" t="str"/>
      <x:c r="I125" s="11" t="str">
        <x:v>Infraestrutura + QA</x:v>
      </x:c>
      <x:c r="J125" s="11" t="str">
        <x:v>BK-118, BK-116</x:v>
      </x:c>
      <x:c r="K125" s="11" t="str">
        <x:v>F-17</x:v>
      </x:c>
      <x:c r="L125" s="11" t="str">
        <x:v>; Consolidação 13/09/2026, §2; Fechamento vigente 13/09/2026, §7.6</x:v>
      </x:c>
      <x:c r="M125" s="11" t="n">
        <x:f>IF(AND(E125="Concluída",H125&lt;&gt;""),F125,0)</x:f>
        <x:v>0</x:v>
      </x:c>
      <x:c r="N125" s="11" t="n">
        <x:f>F125*G125</x:f>
        <x:v>0</x:v>
      </x:c>
    </x:row>
    <x:row r="126" ht="72" customHeight="1">
      <x:c r="A126" s="10" t="str">
        <x:v>BK-120</x:v>
      </x:c>
      <x:c r="B126" s="10" t="str">
        <x:v>11 Instalação, produção e sustentação</x:v>
      </x:c>
      <x:c r="C126" s="10" t="str">
        <x:v>Configurar monitoramento operacional local</x:v>
      </x:c>
      <x:c r="D126" s="10" t="str">
        <x:v>Desenvolvimento</x:v>
      </x:c>
      <x:c r="E126" s="12" t="str">
        <x:v>Não iniciada</x:v>
      </x:c>
      <x:c r="F126" s="18" t="n">
        <x:v>1</x:v>
      </x:c>
      <x:c r="G126" s="16" t="n">
        <x:v>0</x:v>
      </x:c>
      <x:c r="H126" s="12" t="str"/>
      <x:c r="I126" s="10" t="str">
        <x:v>Infraestrutura</x:v>
      </x:c>
      <x:c r="J126" s="10" t="str">
        <x:v>BK-031, BK-051, BK-118</x:v>
      </x:c>
      <x:c r="K126" s="10" t="str">
        <x:v>Q-26,F-17</x:v>
      </x:c>
      <x:c r="L126" s="10" t="str">
        <x:v>; Fechamento vigente 13/09/2026, §7.7–7.8</x:v>
      </x:c>
      <x:c r="M126" s="10" t="n">
        <x:f>IF(AND(E126="Concluída",H126&lt;&gt;""),F126,0)</x:f>
        <x:v>0</x:v>
      </x:c>
      <x:c r="N126" s="10" t="n">
        <x:f>F126*G126</x:f>
        <x:v>0</x:v>
      </x:c>
    </x:row>
    <x:row r="127" ht="72" customHeight="1">
      <x:c r="A127" s="11" t="str">
        <x:v>BK-121</x:v>
      </x:c>
      <x:c r="B127" s="11" t="str">
        <x:v>11 Instalação, produção e sustentação</x:v>
      </x:c>
      <x:c r="C127" s="11" t="str">
        <x:v>Preparar e reconciliar a carga inicial</x:v>
      </x:c>
      <x:c r="D127" s="11" t="str">
        <x:v>Desenvolvimento</x:v>
      </x:c>
      <x:c r="E127" s="12" t="str">
        <x:v>Não iniciada</x:v>
      </x:c>
      <x:c r="F127" s="18" t="n">
        <x:v>1</x:v>
      </x:c>
      <x:c r="G127" s="17" t="n">
        <x:v>0</x:v>
      </x:c>
      <x:c r="H127" s="12" t="str"/>
      <x:c r="I127" s="11" t="str">
        <x:v>Dados + Majucau</x:v>
      </x:c>
      <x:c r="J127" s="11" t="str">
        <x:v>BK-113, BK-117, BK-044</x:v>
      </x:c>
      <x:c r="K127" s="11" t="str"/>
      <x:c r="L127" s="11" t="str">
        <x:v>; Consolidação 13/09/2026, §§1–2; pendência 9</x:v>
      </x:c>
      <x:c r="M127" s="11" t="n">
        <x:f>IF(AND(E127="Concluída",H127&lt;&gt;""),F127,0)</x:f>
        <x:v>0</x:v>
      </x:c>
      <x:c r="N127" s="11" t="n">
        <x:f>F127*G127</x:f>
        <x:v>0</x:v>
      </x:c>
    </x:row>
    <x:row r="128" ht="72" customHeight="1">
      <x:c r="A128" s="10" t="str">
        <x:v>BK-122</x:v>
      </x:c>
      <x:c r="B128" s="10" t="str">
        <x:v>11 Instalação, produção e sustentação</x:v>
      </x:c>
      <x:c r="C128" s="10" t="str">
        <x:v>Ensaiar atualização e retorno à versão anterior</x:v>
      </x:c>
      <x:c r="D128" s="10" t="str">
        <x:v>Desenvolvimento</x:v>
      </x:c>
      <x:c r="E128" s="12" t="str">
        <x:v>Não iniciada</x:v>
      </x:c>
      <x:c r="F128" s="18" t="n">
        <x:v>1</x:v>
      </x:c>
      <x:c r="G128" s="16" t="n">
        <x:v>0</x:v>
      </x:c>
      <x:c r="H128" s="12" t="str"/>
      <x:c r="I128" s="10" t="str">
        <x:v>Infraestrutura + Engenharia</x:v>
      </x:c>
      <x:c r="J128" s="10" t="str">
        <x:v>BK-116, BK-119</x:v>
      </x:c>
      <x:c r="K128" s="10" t="str"/>
      <x:c r="L128" s="10" t="str">
        <x:v>Necessidade técnica de entrega e operação.</x:v>
      </x:c>
      <x:c r="M128" s="10" t="n">
        <x:f>IF(AND(E128="Concluída",H128&lt;&gt;""),F128,0)</x:f>
        <x:v>0</x:v>
      </x:c>
      <x:c r="N128" s="10" t="n">
        <x:f>F128*G128</x:f>
        <x:v>0</x:v>
      </x:c>
    </x:row>
    <x:row r="129" ht="72" customHeight="1">
      <x:c r="A129" s="11" t="str">
        <x:v>BK-123</x:v>
      </x:c>
      <x:c r="B129" s="11" t="str">
        <x:v>11 Instalação, produção e sustentação</x:v>
      </x:c>
      <x:c r="C129" s="11" t="str">
        <x:v>Documentar e treinar a rotina da Majucau</x:v>
      </x:c>
      <x:c r="D129" s="11" t="str">
        <x:v>Desenvolvimento</x:v>
      </x:c>
      <x:c r="E129" s="12" t="str">
        <x:v>Não iniciada</x:v>
      </x:c>
      <x:c r="F129" s="18" t="n">
        <x:v>1</x:v>
      </x:c>
      <x:c r="G129" s="17" t="n">
        <x:v>0</x:v>
      </x:c>
      <x:c r="H129" s="12" t="str"/>
      <x:c r="I129" s="11" t="str">
        <x:v>Produto + Infraestrutura + Majucau</x:v>
      </x:c>
      <x:c r="J129" s="11" t="str">
        <x:v>BK-113, BK-120, BK-122</x:v>
      </x:c>
      <x:c r="K129" s="11" t="str">
        <x:v>F-17,F-19</x:v>
      </x:c>
      <x:c r="L129" s="11" t="str">
        <x:v>; Consolidação 13/09/2026, §§1–2,10; Fechamento vigente 13/09/2026, §§7–8</x:v>
      </x:c>
      <x:c r="M129" s="11" t="n">
        <x:f>IF(AND(E129="Concluída",H129&lt;&gt;""),F129,0)</x:f>
        <x:v>0</x:v>
      </x:c>
      <x:c r="N129" s="11" t="n">
        <x:f>F129*G129</x:f>
        <x:v>0</x:v>
      </x:c>
    </x:row>
    <x:row r="130" ht="72" customHeight="1">
      <x:c r="A130" s="10" t="str">
        <x:v>BK-124</x:v>
      </x:c>
      <x:c r="B130" s="10" t="str">
        <x:v>11 Instalação, produção e sustentação</x:v>
      </x:c>
      <x:c r="C130" s="10" t="str">
        <x:v>Verificar os critérios de entrada em produção</x:v>
      </x:c>
      <x:c r="D130" s="10" t="str">
        <x:v>Qualidade</x:v>
      </x:c>
      <x:c r="E130" s="12" t="str">
        <x:v>Não iniciada</x:v>
      </x:c>
      <x:c r="F130" s="18" t="n">
        <x:v>1</x:v>
      </x:c>
      <x:c r="G130" s="16" t="n">
        <x:v>0</x:v>
      </x:c>
      <x:c r="H130" s="12" t="str"/>
      <x:c r="I130" s="10" t="str">
        <x:v>Majucau + Liderança técnica</x:v>
      </x:c>
      <x:c r="J130" s="10" t="str">
        <x:v>BK-121, BK-111, BK-119, BK-122, BK-123, BK-120</x:v>
      </x:c>
      <x:c r="K130" s="10" t="str"/>
      <x:c r="L130" s="10" t="str">
        <x:v>Necessidade técnica de entrega e operação.</x:v>
      </x:c>
      <x:c r="M130" s="10" t="n">
        <x:f>IF(AND(E130="Concluída",H130&lt;&gt;""),F130,0)</x:f>
        <x:v>0</x:v>
      </x:c>
      <x:c r="N130" s="10" t="n">
        <x:f>F130*G130</x:f>
        <x:v>0</x:v>
      </x:c>
    </x:row>
    <x:row r="131" ht="72" customHeight="1">
      <x:c r="A131" s="11" t="str">
        <x:v>BK-125</x:v>
      </x:c>
      <x:c r="B131" s="11" t="str">
        <x:v>11 Instalação, produção e sustentação</x:v>
      </x:c>
      <x:c r="C131" s="11" t="str">
        <x:v>Instalar e ativar a primeira versão em produção local</x:v>
      </x:c>
      <x:c r="D131" s="11" t="str">
        <x:v>Produção</x:v>
      </x:c>
      <x:c r="E131" s="12" t="str">
        <x:v>Não iniciada</x:v>
      </x:c>
      <x:c r="F131" s="18" t="n">
        <x:v>1</x:v>
      </x:c>
      <x:c r="G131" s="17" t="n">
        <x:v>0</x:v>
      </x:c>
      <x:c r="H131" s="12" t="str"/>
      <x:c r="I131" s="11" t="str">
        <x:v>Infraestrutura + Engenharia</x:v>
      </x:c>
      <x:c r="J131" s="11" t="str">
        <x:v>BK-124</x:v>
      </x:c>
      <x:c r="K131" s="11" t="str"/>
      <x:c r="L131" s="11" t="str">
        <x:v>Necessidade técnica de entrega e operação.</x:v>
      </x:c>
      <x:c r="M131" s="11" t="n">
        <x:f>IF(AND(E131="Concluída",H131&lt;&gt;""),F131,0)</x:f>
        <x:v>0</x:v>
      </x:c>
      <x:c r="N131" s="11" t="n">
        <x:f>F131*G131</x:f>
        <x:v>0</x:v>
      </x:c>
    </x:row>
    <x:row r="132" ht="72" customHeight="1">
      <x:c r="A132" s="10" t="str">
        <x:v>BK-126</x:v>
      </x:c>
      <x:c r="B132" s="10" t="str">
        <x:v>11 Instalação, produção e sustentação</x:v>
      </x:c>
      <x:c r="C132" s="10" t="str">
        <x:v>Acompanhar os primeiros ciclos reais e encerrar a entrega</x:v>
      </x:c>
      <x:c r="D132" s="10" t="str">
        <x:v>Produção</x:v>
      </x:c>
      <x:c r="E132" s="12" t="str">
        <x:v>Não iniciada</x:v>
      </x:c>
      <x:c r="F132" s="18" t="n">
        <x:v>1</x:v>
      </x:c>
      <x:c r="G132" s="16" t="n">
        <x:v>0</x:v>
      </x:c>
      <x:c r="H132" s="12" t="str"/>
      <x:c r="I132" s="10" t="str">
        <x:v>Majucau + Engenharia + Infraestrutura</x:v>
      </x:c>
      <x:c r="J132" s="10" t="str">
        <x:v>BK-125</x:v>
      </x:c>
      <x:c r="K132" s="10" t="str"/>
      <x:c r="L132" s="10" t="str">
        <x:v>Necessidade técnica de entrega e operação.</x:v>
      </x:c>
      <x:c r="M132" s="10" t="n">
        <x:f>IF(AND(E132="Concluída",H132&lt;&gt;""),F132,0)</x:f>
        <x:v>0</x:v>
      </x:c>
      <x:c r="N132" s="10" t="n">
        <x:f>F132*G132</x:f>
        <x:v>0</x:v>
      </x:c>
    </x:row>
  </x:sheetData>
  <x:conditionalFormatting sqref="A6:N132">
    <x:cfRule type="expression" dxfId="0" priority="1">
      <x:formula>AND($E6="Concluída",$H6="")</x:formula>
    </x:cfRule>
  </x:conditionalFormatting>
  <x:dataValidations count="2">
    <x:dataValidation type="list" sqref="E6:E132">
      <x:formula1>"Não iniciada,Aguarda decisão,Em andamento,Em validação,Bloqueada,Concluída"</x:formula1>
    </x:dataValidation>
    <x:dataValidation type="whole" operator="between" sqref="F6:F132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0fa190a840b49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380000114440918" hidden="0" customWidth="1"/>
    <x:col min="2" max="2" width="23.1299991607666" hidden="0" customWidth="1"/>
    <x:col min="3" max="3" width="23.1299991607666" hidden="0" customWidth="1"/>
    <x:col min="4" max="4" width="70" hidden="0" customWidth="1"/>
    <x:col min="5" max="5" width="42.5" hidden="0" customWidth="1"/>
    <x:col min="6" max="6" width="60" hidden="0" customWidth="1"/>
    <x:col min="7" max="7" width="34.380001068115234" hidden="0" customWidth="1"/>
    <x:col min="8" max="8" width="28.75" hidden="0" customWidth="1"/>
    <x:col min="9" max="9" width="31.879999160766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Majucau — regras e verificações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 t="str">
        <x:v>Regras funcionais fechadas. Execução técnica e localização de referências são acompanhadas sem reabrir o negócio.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ID</x:v>
      </x:c>
      <x:c r="B5" s="8" t="str">
        <x:v>Tema</x:v>
      </x:c>
      <x:c r="C5" s="8" t="str">
        <x:v>Situação</x:v>
      </x:c>
      <x:c r="D5" s="8" t="str">
        <x:v>Definição / verificação necessária</x:v>
      </x:c>
      <x:c r="E5" s="8" t="str">
        <x:v>Impacto</x:v>
      </x:c>
      <x:c r="F5" s="8" t="str">
        <x:v>Resposta registrada</x:v>
      </x:c>
      <x:c r="G5" s="8" t="str">
        <x:v>Fonte</x:v>
      </x:c>
      <x:c r="H5" s="8" t="str">
        <x:v>Tarefas</x:v>
      </x:c>
      <x:c r="I5" s="8" t="str">
        <x:v>Natureza</x:v>
      </x:c>
    </x:row>
    <x:row r="6" ht="95" customHeight="1">
      <x:c r="A6" s="10" t="str">
        <x:v>D-01</x:v>
      </x:c>
      <x:c r="B6" s="10" t="str">
        <x:v>Empresa atendida</x:v>
      </x:c>
      <x:c r="C6" s="12" t="str">
        <x:v>Definida</x:v>
      </x:c>
      <x:c r="D6" s="10" t="str">
        <x:v>Definição vigente e trabalho técnico vinculado.</x:v>
      </x:c>
      <x:c r="E6" s="10" t="str">
        <x:v>Aplicar a definição vigente; execução, evidência e aceite são registrados nas tarefas relacionadas.</x:v>
      </x:c>
      <x:c r="F6" s="12" t="str">
        <x:v>Somente Majucau. A resposta anterior sobre várias empresas foi corrigida pelo usuário.</x:v>
      </x:c>
      <x:c r="G6" s="10" t="str">
        <x:v>Conversa atual; Fechamento das questões ainda tratadas como abertas — 13/09/2026</x:v>
      </x:c>
      <x:c r="H6" s="10" t="str"/>
      <x:c r="I6" s="10" t="str">
        <x:v>Regra/atribuição definida</x:v>
      </x:c>
    </x:row>
    <x:row r="7" ht="95" customHeight="1">
      <x:c r="A7" s="11" t="str">
        <x:v>D-02</x:v>
      </x:c>
      <x:c r="B7" s="11" t="str">
        <x:v>Usuários</x:v>
      </x:c>
      <x:c r="C7" s="12" t="str">
        <x:v>Definida</x:v>
      </x:c>
      <x:c r="D7" s="11" t="str">
        <x:v>Definição vigente e trabalho técnico vinculado.</x:v>
      </x:c>
      <x:c r="E7" s="11" t="str">
        <x:v>Aplicar a definição vigente; execução, evidência e aceite são registrados nas tarefas relacionadas.</x:v>
      </x:c>
      <x:c r="F7" s="12" t="str">
        <x:v>Três pessoas da diretoria, cada uma em seu computador.</x:v>
      </x:c>
      <x:c r="G7" s="11" t="str">
        <x:v>Conversa atual; Fechamento das questões ainda tratadas como abertas — 13/09/2026</x:v>
      </x:c>
      <x:c r="H7" s="11" t="str"/>
      <x:c r="I7" s="11" t="str">
        <x:v>Regra/atribuição definida</x:v>
      </x:c>
    </x:row>
    <x:row r="8" ht="95" customHeight="1">
      <x:c r="A8" s="10" t="str">
        <x:v>D-03</x:v>
      </x:c>
      <x:c r="B8" s="10" t="str">
        <x:v>Hospedagem</x:v>
      </x:c>
      <x:c r="C8" s="12" t="str">
        <x:v>Definida</x:v>
      </x:c>
      <x:c r="D8" s="10" t="str">
        <x:v>Definição vigente e trabalho técnico vinculado.</x:v>
      </x:c>
      <x:c r="E8" s="10" t="str">
        <x:v>Aplicar a definição vigente; execução, evidência e aceite são registrados nas tarefas relacionadas.</x:v>
      </x:c>
      <x:c r="F8" s="12" t="str">
        <x:v>Local, em computador/servidor Windows existente. Demais características ainda desconhecidas.</x:v>
      </x:c>
      <x:c r="G8" s="10" t="str">
        <x:v>Conversa atual; Fechamento das questões ainda tratadas como abertas — 13/09/2026</x:v>
      </x:c>
      <x:c r="H8" s="10" t="str"/>
      <x:c r="I8" s="10" t="str">
        <x:v>Regra/atribuição definida</x:v>
      </x:c>
    </x:row>
    <x:row r="9" ht="95" customHeight="1">
      <x:c r="A9" s="11" t="str">
        <x:v>D-04</x:v>
      </x:c>
      <x:c r="B9" s="11" t="str">
        <x:v>Primeira produção</x:v>
      </x:c>
      <x:c r="C9" s="12" t="str">
        <x:v>Definida</x:v>
      </x:c>
      <x:c r="D9" s="11" t="str">
        <x:v>Definição vigente e trabalho técnico vinculado.</x:v>
      </x:c>
      <x:c r="E9" s="11" t="str">
        <x:v>Aplicar a definição vigente; execução, evidência e aceite são registrados nas tarefas relacionadas.</x:v>
      </x:c>
      <x:c r="F9" s="12" t="str">
        <x:v>Todos os módulos confirmados do material na primeira entrada em produção; etapas internas são permitidas para organizar o trabalho.</x:v>
      </x:c>
      <x:c r="G9" s="11" t="str">
        <x:v>Conversa atual; Fechamento das questões ainda tratadas como abertas — 13/09/2026</x:v>
      </x:c>
      <x:c r="H9" s="11" t="str"/>
      <x:c r="I9" s="11" t="str">
        <x:v>Regra/atribuição definida</x:v>
      </x:c>
    </x:row>
    <x:row r="10" ht="95" customHeight="1">
      <x:c r="A10" s="10" t="str">
        <x:v>D-05</x:v>
      </x:c>
      <x:c r="B10" s="10" t="str">
        <x:v>Conflitos entre fontes</x:v>
      </x:c>
      <x:c r="C10" s="12" t="str">
        <x:v>Definida</x:v>
      </x:c>
      <x:c r="D10" s="10" t="str">
        <x:v>Definição vigente e trabalho técnico vinculado.</x:v>
      </x:c>
      <x:c r="E10" s="10" t="str">
        <x:v>Aplicar a definição vigente; execução, evidência e aceite são registrados nas tarefas relacionadas.</x:v>
      </x:c>
      <x:c r="F10" s="12" t="str">
        <x:v>Precedência atual: mockup aprovado define visual; documentação consolidada define cálculo, fonte e comportamento; última versão aprovada/congelada prevalece. A orientação anterior de decidir cada conflito caso a caso foi substituída nos pontos fechados.</x:v>
      </x:c>
      <x:c r="G10" s="10" t="str">
        <x:v>Conversa atual; Fechamento das questões ainda tratadas como abertas — 13/09/2026</x:v>
      </x:c>
      <x:c r="H10" s="10" t="str"/>
      <x:c r="I10" s="10" t="str">
        <x:v>Regra/atribuição definida</x:v>
      </x:c>
    </x:row>
    <x:row r="11" ht="95" customHeight="1">
      <x:c r="A11" s="11" t="str">
        <x:v>D-06</x:v>
      </x:c>
      <x:c r="B11" s="11" t="str">
        <x:v>Tecnologias</x:v>
      </x:c>
      <x:c r="C11" s="12" t="str">
        <x:v>Definida</x:v>
      </x:c>
      <x:c r="D11" s="11" t="str">
        <x:v>Definição vigente e trabalho técnico vinculado.</x:v>
      </x:c>
      <x:c r="E11" s="11" t="str">
        <x:v>Aplicar a definição vigente; execução, evidência e aceite são registrados nas tarefas relacionadas.</x:v>
      </x:c>
      <x:c r="F11" s="12" t="str">
        <x:v>Monólito com DDD e arquitetura hexagonal; backend Go; frontend React + TypeScript + Vite.</x:v>
      </x:c>
      <x:c r="G11" s="11" t="str">
        <x:v>Conversa atual; Fechamento das questões ainda tratadas como abertas — 13/09/2026</x:v>
      </x:c>
      <x:c r="H11" s="11" t="str"/>
      <x:c r="I11" s="11" t="str">
        <x:v>Regra/atribuição definida</x:v>
      </x:c>
    </x:row>
    <x:row r="12" ht="95" customHeight="1">
      <x:c r="A12" s="10" t="str">
        <x:v>D-07</x:v>
      </x:c>
      <x:c r="B12" s="10" t="str">
        <x:v>Balanço Patrimonial</x:v>
      </x:c>
      <x:c r="C12" s="12" t="str">
        <x:v>Definida</x:v>
      </x:c>
      <x:c r="D12" s="10" t="str">
        <x:v>Definição vigente e trabalho técnico vinculado.</x:v>
      </x:c>
      <x:c r="E12" s="10" t="str">
        <x:v>Aplicar a definição vigente; execução, evidência e aceite são registrados nas tarefas relacionadas.</x:v>
      </x:c>
      <x:c r="F12" s="12" t="str">
        <x:v>Fora da primeira versão; retirar o item dos menus por decisão explícita do usuário.</x:v>
      </x:c>
      <x:c r="G12" s="10" t="str">
        <x:v>Conversa atual; Fechamento das questões ainda tratadas como abertas — 13/09/2026</x:v>
      </x:c>
      <x:c r="H12" s="10" t="str"/>
      <x:c r="I12" s="10" t="str">
        <x:v>Regra/atribuição definida</x:v>
      </x:c>
    </x:row>
    <x:row r="13" ht="95" customHeight="1">
      <x:c r="A13" s="11" t="str">
        <x:v>D-08</x:v>
      </x:c>
      <x:c r="B13" s="11" t="str">
        <x:v>Natureza desta entrega</x:v>
      </x:c>
      <x:c r="C13" s="12" t="str">
        <x:v>Definida</x:v>
      </x:c>
      <x:c r="D13" s="11" t="str">
        <x:v>Definição vigente e trabalho técnico vinculado.</x:v>
      </x:c>
      <x:c r="E13" s="11" t="str">
        <x:v>Aplicar a definição vigente; execução, evidência e aceite são registrados nas tarefas relacionadas.</x:v>
      </x:c>
      <x:c r="F13" s="12" t="str">
        <x:v>Somente atualização do backlog nesta rodada, confirmado expressamente pelo usuário após o envio do fechamento. Implementação e validação real são tarefas futuras.</x:v>
      </x:c>
      <x:c r="G13" s="11" t="str">
        <x:v>Conversa atual; Fechamento das questões ainda tratadas como abertas — 13/09/2026</x:v>
      </x:c>
      <x:c r="H13" s="11" t="str"/>
      <x:c r="I13" s="11" t="str">
        <x:v>Regra/atribuição definida</x:v>
      </x:c>
    </x:row>
    <x:row r="14" ht="95" customHeight="1">
      <x:c r="A14" s="10" t="str">
        <x:v>C-01</x:v>
      </x:c>
      <x:c r="B14" s="10" t="str">
        <x:v>Pagamento diferente do título</x:v>
      </x:c>
      <x:c r="C14" s="12" t="str">
        <x:v>Definida</x:v>
      </x:c>
      <x:c r="D14" s="10" t="str">
        <x:v>Definição vigente e trabalho técnico vinculado.</x:v>
      </x:c>
      <x:c r="E14" s="10" t="str">
        <x:v>Aplicar a definição vigente; execução, evidência e aceite são registrados nas tarefas relacionadas.</x:v>
      </x:c>
      <x:c r="F14" s="12" t="str">
        <x:v>Qualquer diferença, inclusive R$ 0,01, marca divergência e mantém o título sem baixa até análise. Cenários de aceite, tratamento de ambiguidade e proteção contra duplicidade estão detalhados em BK-005.</x:v>
      </x:c>
      <x:c r="G14" s="10" t="str">
        <x:v>C_Conflitos!A3:L3; Fechamento das questões ainda tratadas como abertas — 13/09/2026</x:v>
      </x:c>
      <x:c r="H14" s="10" t="str">
        <x:v>BK-005</x:v>
      </x:c>
      <x:c r="I14" s="10" t="str">
        <x:v>Regra/atribuição definida</x:v>
      </x:c>
    </x:row>
    <x:row r="15" ht="95" customHeight="1">
      <x:c r="A15" s="11" t="str">
        <x:v>C-02</x:v>
      </x:c>
      <x:c r="B15" s="11" t="str">
        <x:v>Semana crítica</x:v>
      </x:c>
      <x:c r="C15" s="12" t="str">
        <x:v>Definida</x:v>
      </x:c>
      <x:c r="D15" s="11" t="str">
        <x:v>Definição vigente e trabalho técnico vinculado.</x:v>
      </x:c>
      <x:c r="E15" s="11" t="str">
        <x:v>Aplicar a definição vigente; execução, evidência e aceite são registrados nas tarefas relacionadas.</x:v>
      </x:c>
      <x:c r="F15" s="12" t="str">
        <x:v>A semana com o maior total de despesas. A posição de caixa dentro dela ainda precisa ser definida.</x:v>
      </x:c>
      <x:c r="G15" s="11" t="str">
        <x:v>C_Conflitos!A4:L4; Fechamento das questões ainda tratadas como abertas — 13/09/2026</x:v>
      </x:c>
      <x:c r="H15" s="11" t="str"/>
      <x:c r="I15" s="11" t="str">
        <x:v>Regra/atribuição definida</x:v>
      </x:c>
    </x:row>
    <x:row r="16" ht="95" customHeight="1">
      <x:c r="A16" s="10" t="str">
        <x:v>C-03</x:v>
      </x:c>
      <x:c r="B16" s="10" t="str">
        <x:v>Lucro elegível</x:v>
      </x:c>
      <x:c r="C16" s="12" t="str">
        <x:v>Definida</x:v>
      </x:c>
      <x:c r="D16" s="10" t="str">
        <x:v>Definição vigente e trabalho técnico vinculado.</x:v>
      </x:c>
      <x:c r="E16" s="10" t="str">
        <x:v>Aplicar a definição vigente; execução, evidência e aceite são registrados nas tarefas relacionadas.</x:v>
      </x:c>
      <x:c r="F16" s="12" t="str">
        <x:v>O lucro elegível da calculadora usa a DRE calculada pelo motor Majucau conforme as regras contábeis aprovadas; o relatório do Bling serve para comparação. Já Investido = aportes de principal − resgates de principal, sem rendimentos. A janela e os limites seguem F-01/M-034; mapeamento e comprovação técnica dos dados de origem continuam pendentes.</x:v>
      </x:c>
      <x:c r="G16" s="10" t="str">
        <x:v>C_Conflitos!A5:L5; Consolidação das respostas do desenvolvimento — enviada pelo usuário em 13/09/2026; Fechamento das questões ainda tratadas como abertas — 13/09/2026</x:v>
      </x:c>
      <x:c r="H16" s="10" t="str"/>
      <x:c r="I16" s="10" t="str">
        <x:v>Regra/atribuição definida</x:v>
      </x:c>
    </x:row>
    <x:row r="17" ht="95" customHeight="1">
      <x:c r="A17" s="11" t="str">
        <x:v>L-01</x:v>
      </x:c>
      <x:c r="B17" s="11" t="str">
        <x:v>Gate formal</x:v>
      </x:c>
      <x:c r="C17" s="12" t="str">
        <x:v>Definida</x:v>
      </x:c>
      <x:c r="D17" s="11" t="str">
        <x:v>Definição vigente e trabalho técnico vinculado.</x:v>
      </x:c>
      <x:c r="E17" s="11" t="str">
        <x:v>Aplicar a definição vigente; execução, evidência e aceite são registrados nas tarefas relacionadas.</x:v>
      </x:c>
      <x:c r="F17" s="12" t="str">
        <x:v>Usuário confirmou somente atualização do backlog nesta rodada; o fechamento funcional não representa implementação executada.</x:v>
      </x:c>
      <x:c r="G17" s="11" t="str">
        <x:v>D_Lacunas!A3:G3; Fechamento das questões ainda tratadas como abertas — 13/09/2026</x:v>
      </x:c>
      <x:c r="H17" s="11" t="str"/>
      <x:c r="I17" s="11" t="str">
        <x:v>Regra/atribuição definida</x:v>
      </x:c>
    </x:row>
    <x:row r="18" ht="95" customHeight="1">
      <x:c r="A18" s="10" t="str">
        <x:v>L-02</x:v>
      </x:c>
      <x:c r="B18" s="10" t="str">
        <x:v>Sistema atual</x:v>
      </x:c>
      <x:c r="C18" s="12" t="str">
        <x:v>Execução técnica pendente</x:v>
      </x:c>
      <x:c r="D18" s="10" t="str">
        <x:v>Definição vigente e trabalho técnico vinculado.</x:v>
      </x:c>
      <x:c r="E18" s="10" t="str">
        <x:v>Aplicar a definição vigente; execução, evidência e aceite são registrados nas tarefas relacionadas.</x:v>
      </x:c>
      <x:c r="F18" s="12" t="str">
        <x:v>Verificar tecnicamente a origem e evidências do item; não é nova pergunta de negócio.</x:v>
      </x:c>
      <x:c r="G18" s="10" t="str">
        <x:v>D_Lacunas!A4:G4; Fechamento das questões ainda tratadas como abertas — 13/09/2026</x:v>
      </x:c>
      <x:c r="H18" s="10" t="str"/>
      <x:c r="I18" s="10" t="str">
        <x:v>Execução técnica</x:v>
      </x:c>
    </x:row>
    <x:row r="19" ht="95" customHeight="1">
      <x:c r="A19" s="11" t="str">
        <x:v>L-03</x:v>
      </x:c>
      <x:c r="B19" s="11" t="str">
        <x:v>CMV histórico</x:v>
      </x:c>
      <x:c r="C19" s="12" t="str">
        <x:v>Execução técnica pendente</x:v>
      </x:c>
      <x:c r="D19" s="11" t="str">
        <x:v>Definição vigente e trabalho técnico vinculado.</x:v>
      </x:c>
      <x:c r="E19" s="11" t="str">
        <x:v>Aplicar a definição vigente; execução, evidência e aceite são registrados nas tarefas relacionadas.</x:v>
      </x:c>
      <x:c r="F19" s="12" t="str">
        <x:v>Verificar tecnicamente a origem e evidências do item; não é nova pergunta de negócio.</x:v>
      </x:c>
      <x:c r="G19" s="11" t="str">
        <x:v>D_Lacunas!A5:G5; Consolidação das respostas do desenvolvimento — enviada pelo usuário em 13/09/2026; Fechamento das questões ainda tratadas como abertas — 13/09/2026</x:v>
      </x:c>
      <x:c r="H19" s="11" t="str">
        <x:v>BK-007</x:v>
      </x:c>
      <x:c r="I19" s="11" t="str">
        <x:v>Execução técnica</x:v>
      </x:c>
    </x:row>
    <x:row r="20" ht="95" customHeight="1">
      <x:c r="A20" s="10" t="str">
        <x:v>L-04</x:v>
      </x:c>
      <x:c r="B20" s="10" t="str">
        <x:v>Perdas — competência</x:v>
      </x:c>
      <x:c r="C20" s="12" t="str">
        <x:v>Definida</x:v>
      </x:c>
      <x:c r="D20" s="10" t="str">
        <x:v>Definição vigente e trabalho técnico vinculado.</x:v>
      </x:c>
      <x:c r="E20" s="10" t="str">
        <x:v>Aplicar a definição vigente; execução, evidência e aceite são registrados nas tarefas relacionadas.</x:v>
      </x:c>
      <x:c r="F20" s="12" t="str">
        <x:v>Perdas operacionais vêm da fonte própria; só entram na DRE quando documento/fato econômico e mapeamento contábil aprovado justificarem. Caixa e competência são registrados separadamente; não incluir por inferência.</x:v>
      </x:c>
      <x:c r="G20" s="10" t="str">
        <x:v>D_Lacunas!A6:G6; Fechamento das questões ainda tratadas como abertas — 13/09/2026</x:v>
      </x:c>
      <x:c r="H20" s="10" t="str">
        <x:v>BK-007</x:v>
      </x:c>
      <x:c r="I20" s="10" t="str">
        <x:v>Regra/atribuição definida</x:v>
      </x:c>
    </x:row>
    <x:row r="21" ht="95" customHeight="1">
      <x:c r="A21" s="11" t="str">
        <x:v>L-05</x:v>
      </x:c>
      <x:c r="B21" s="11" t="str">
        <x:v>Juros Nuvem</x:v>
      </x:c>
      <x:c r="C21" s="12" t="str">
        <x:v>Definida</x:v>
      </x:c>
      <x:c r="D21" s="11" t="str">
        <x:v>Definição vigente e trabalho técnico vinculado.</x:v>
      </x:c>
      <x:c r="E21" s="11" t="str">
        <x:v>Aplicar a definição vigente; execução, evidência e aceite são registrados nas tarefas relacionadas.</x:v>
      </x:c>
      <x:c r="F21" s="12" t="str">
        <x:v>Juros, tarifas e rendimentos financeiros são avaliados por natureza, documento e competência. Os lançamentos do Bling são dados de origem; a classificação nas linhas da DRE segue as regras contábeis aprovadas. O relatório do Bling serve para comparação, não como cálculo final.</x:v>
      </x:c>
      <x:c r="G21" s="11" t="str">
        <x:v>D_Lacunas!A7:G7; Fechamento das questões ainda tratadas como abertas — 13/09/2026</x:v>
      </x:c>
      <x:c r="H21" s="11" t="str">
        <x:v>BK-007</x:v>
      </x:c>
      <x:c r="I21" s="11" t="str">
        <x:v>Regra/atribuição definida</x:v>
      </x:c>
    </x:row>
    <x:row r="22" ht="95" customHeight="1">
      <x:c r="A22" s="10" t="str">
        <x:v>L-06</x:v>
      </x:c>
      <x:c r="B22" s="10" t="str">
        <x:v>Tarifa fixa Pricing</x:v>
      </x:c>
      <x:c r="C22" s="12" t="str">
        <x:v>Definida</x:v>
      </x:c>
      <x:c r="D22" s="10" t="str">
        <x:v>Definição vigente e trabalho técnico vinculado.</x:v>
      </x:c>
      <x:c r="E22" s="10" t="str">
        <x:v>Aplicar a definição vigente; execução, evidência e aceite são registrados nas tarefas relacionadas.</x:v>
      </x:c>
      <x:c r="F22" s="12" t="str">
        <x:v>Custos e tarifas são classificados conforme regras contábeis e critério de apropriação aprovados. Os dados reais do Bling podem alimentar o cálculo; sua classificação existente não é adotada automaticamente sem validação. Manter bruto/variável/fixo/rateio/custo final separados, sem duplicar tarifa ou inventar rateio.</x:v>
      </x:c>
      <x:c r="G22" s="10" t="str">
        <x:v>D_Lacunas!A8:G8; Fechamento das questões ainda tratadas como abertas — 13/09/2026</x:v>
      </x:c>
      <x:c r="H22" s="10" t="str">
        <x:v>BK-075</x:v>
      </x:c>
      <x:c r="I22" s="10" t="str">
        <x:v>Regra/atribuição definida</x:v>
      </x:c>
    </x:row>
    <x:row r="23" ht="95" customHeight="1">
      <x:c r="A23" s="11" t="str">
        <x:v>L-07</x:v>
      </x:c>
      <x:c r="B23" s="11" t="str">
        <x:v>Caixa da semana crítica</x:v>
      </x:c>
      <x:c r="C23" s="12" t="str">
        <x:v>Definida</x:v>
      </x:c>
      <x:c r="D23" s="11" t="str">
        <x:v>Definição vigente e trabalho técnico vinculado.</x:v>
      </x:c>
      <x:c r="E23" s="11" t="str">
        <x:v>Aplicar a definição vigente; execução, evidência e aceite são registrados nas tarefas relacionadas.</x:v>
      </x:c>
      <x:c r="F23" s="12" t="str">
        <x:v>A calculadora está fechada. Localizar tecnicamente o contrato/campo Caixa Semana Crítica na referência vigente; não escolher início/fim/mínimo sem evidência. Não retornar como pergunta financeira.</x:v>
      </x:c>
      <x:c r="G23" s="11" t="str">
        <x:v>D_Lacunas!A9:G9; Fechamento das questões ainda tratadas como abertas — 13/09/2026</x:v>
      </x:c>
      <x:c r="H23" s="11" t="str">
        <x:v>BK-006</x:v>
      </x:c>
      <x:c r="I23" s="11" t="str">
        <x:v>Regra/atribuição definida</x:v>
      </x:c>
    </x:row>
    <x:row r="24" ht="95" customHeight="1">
      <x:c r="A24" s="10" t="str">
        <x:v>L-08</x:v>
      </x:c>
      <x:c r="B24" s="10" t="str">
        <x:v>Balancete — saldos iniciais</x:v>
      </x:c>
      <x:c r="C24" s="12" t="str">
        <x:v>Definida</x:v>
      </x:c>
      <x:c r="D24" s="10" t="str">
        <x:v>Definição vigente e trabalho técnico vinculado.</x:v>
      </x:c>
      <x:c r="E24" s="10" t="str">
        <x:v>Aplicar a definição vigente; execução, evidência e aceite são registrados nas tarefas relacionadas.</x:v>
      </x:c>
      <x:c r="F24" s="12" t="str">
        <x:v>Reproduzir balancete existente no Bling com campos reais, competência e classificação. Dado específico não acessível pela API permanece indisponível.</x:v>
      </x:c>
      <x:c r="G24" s="10" t="str">
        <x:v>D_Lacunas!A10:G10; Consolidação das respostas do desenvolvimento — enviada pelo usuário em 13/09/2026; Fechamento das questões ainda tratadas como abertas — 13/09/2026</x:v>
      </x:c>
      <x:c r="H24" s="10" t="str">
        <x:v>BK-007</x:v>
      </x:c>
      <x:c r="I24" s="10" t="str">
        <x:v>Regra/atribuição definida</x:v>
      </x:c>
    </x:row>
    <x:row r="25" ht="95" customHeight="1">
      <x:c r="A25" s="11" t="str">
        <x:v>L-09</x:v>
      </x:c>
      <x:c r="B25" s="11" t="str">
        <x:v>DRE — fontes complementares</x:v>
      </x:c>
      <x:c r="C25" s="12" t="str">
        <x:v>Definida</x:v>
      </x:c>
      <x:c r="D25" s="11" t="str">
        <x:v>Definição vigente e trabalho técnico vinculado.</x:v>
      </x:c>
      <x:c r="E25" s="11" t="str">
        <x:v>Aplicar a definição vigente; execução, evidência e aceite são registrados nas tarefas relacionadas.</x:v>
      </x:c>
      <x:c r="F25" s="12" t="str">
        <x:v>O Bling fornece lançamentos e campos de origem; o motor Majucau calcula a DRE com o mapeamento contábil aprovado. Fontes externas mantêm seus escopos e não preenchem linhas ausentes por hipótese; não criar linhas ou estrutura sem aprovação.</x:v>
      </x:c>
      <x:c r="G25" s="11" t="str">
        <x:v>D_Lacunas!A11:G11; Consolidação das respostas do desenvolvimento — enviada pelo usuário em 13/09/2026; Fechamento das questões ainda tratadas como abertas — 13/09/2026</x:v>
      </x:c>
      <x:c r="H25" s="11" t="str">
        <x:v>BK-007</x:v>
      </x:c>
      <x:c r="I25" s="11" t="str">
        <x:v>Regra/atribuição definida</x:v>
      </x:c>
    </x:row>
    <x:row r="26" ht="95" customHeight="1">
      <x:c r="A26" s="10" t="str">
        <x:v>L-10</x:v>
      </x:c>
      <x:c r="B26" s="10" t="str">
        <x:v>UI Pricing</x:v>
      </x:c>
      <x:c r="C26" s="12" t="str">
        <x:v>Referência a localizar</x:v>
      </x:c>
      <x:c r="D26" s="10" t="str">
        <x:v>Definição vigente e trabalho técnico vinculado.</x:v>
      </x:c>
      <x:c r="E26" s="10" t="str">
        <x:v>Aplicar a definição vigente; execução, evidência e aceite são registrados nas tarefas relacionadas.</x:v>
      </x:c>
      <x:c r="F26" s="12" t="str">
        <x:v>Localizar última versão aprovada/congelada do bloco/tela; não reabrir UX nem criar rota por inferência.</x:v>
      </x:c>
      <x:c r="G26" s="10" t="str">
        <x:v>D_Lacunas!A12:G12; Fechamento das questões ainda tratadas como abertas — 13/09/2026</x:v>
      </x:c>
      <x:c r="H26" s="10" t="str">
        <x:v>BK-075</x:v>
      </x:c>
      <x:c r="I26" s="10" t="str">
        <x:v>Rastreabilidade documental</x:v>
      </x:c>
    </x:row>
    <x:row r="27" ht="95" customHeight="1">
      <x:c r="A27" s="11" t="str">
        <x:v>L-11</x:v>
      </x:c>
      <x:c r="B27" s="11" t="str">
        <x:v>Arquivos Nuvem</x:v>
      </x:c>
      <x:c r="C27" s="12" t="str">
        <x:v>Definida</x:v>
      </x:c>
      <x:c r="D27" s="11" t="str">
        <x:v>Definição vigente e trabalho técnico vinculado.</x:v>
      </x:c>
      <x:c r="E27" s="11" t="str">
        <x:v>Aplicar a definição vigente; execução, evidência e aceite são registrados nas tarefas relacionadas.</x:v>
      </x:c>
      <x:c r="F27" s="12" t="str">
        <x:v>Ler a agenda futura na estrutura definida; mapear arquivos/chaves tecnicamente. Conciliação normal de movimentos usa D-1, sem cortar vencimentos futuros da agenda.</x:v>
      </x:c>
      <x:c r="G27" s="11" t="str">
        <x:v>D_Lacunas!A13:G13; Consolidação das respostas do desenvolvimento — enviada pelo usuário em 13/09/2026; Fechamento das questões ainda tratadas como abertas — 13/09/2026</x:v>
      </x:c>
      <x:c r="H27" s="11" t="str">
        <x:v>BK-010</x:v>
      </x:c>
      <x:c r="I27" s="11" t="str">
        <x:v>Regra/atribuição definida</x:v>
      </x:c>
    </x:row>
    <x:row r="28" ht="95" customHeight="1">
      <x:c r="A28" s="10" t="str">
        <x:v>L-12</x:v>
      </x:c>
      <x:c r="B28" s="10" t="str">
        <x:v>Ciclo de vida de arquivo</x:v>
      </x:c>
      <x:c r="C28" s="12" t="str">
        <x:v>Definida</x:v>
      </x:c>
      <x:c r="D28" s="10" t="str">
        <x:v>Definição vigente e trabalho técnico vinculado.</x:v>
      </x:c>
      <x:c r="E28" s="10" t="str">
        <x:v>Aplicar a definição vigente; execução, evidência e aceite são registrados nas tarefas relacionadas.</x:v>
      </x:c>
      <x:c r="F28" s="12" t="str">
        <x:v>Origem somente de leitura. Proibido criar, mover, renomear, excluir, sobrescrever ou alterar arquivos. Controle, hash, lotes, rejeições e versões ficam internamente; arquivo corrigido não sobrescreve fatos silenciosamente.</x:v>
      </x:c>
      <x:c r="G28" s="10" t="str">
        <x:v>D_Lacunas!A14:G14; Consolidação das respostas do desenvolvimento — enviada pelo usuário em 13/09/2026; Fechamento das questões ainda tratadas como abertas — 13/09/2026</x:v>
      </x:c>
      <x:c r="H28" s="10" t="str">
        <x:v>BK-010</x:v>
      </x:c>
      <x:c r="I28" s="10" t="str">
        <x:v>Regra/atribuição definida</x:v>
      </x:c>
    </x:row>
    <x:row r="29" ht="95" customHeight="1">
      <x:c r="A29" s="11" t="str">
        <x:v>L-13</x:v>
      </x:c>
      <x:c r="B29" s="11" t="str">
        <x:v>Fretes/taxas na DRE</x:v>
      </x:c>
      <x:c r="C29" s="12" t="str">
        <x:v>Definida</x:v>
      </x:c>
      <x:c r="D29" s="11" t="str">
        <x:v>Definição vigente e trabalho técnico vinculado.</x:v>
      </x:c>
      <x:c r="E29" s="11" t="str">
        <x:v>Aplicar a definição vigente; execução, evidência e aceite são registrados nas tarefas relacionadas.</x:v>
      </x:c>
      <x:c r="F29" s="12" t="str">
        <x:v>Frete cobrado, custo e subsídio permanecem separados nos dados específicos. Só afetam a DRE conforme documento, competência e mapeamento contábil aprovados; não se herda automaticamente a classificação do relatório do Bling.</x:v>
      </x:c>
      <x:c r="G29" s="11" t="str">
        <x:v>D_Lacunas!A15:G15; Consolidação das respostas do desenvolvimento — enviada pelo usuário em 13/09/2026; Fechamento das questões ainda tratadas como abertas — 13/09/2026</x:v>
      </x:c>
      <x:c r="H29" s="11" t="str">
        <x:v>BK-007</x:v>
      </x:c>
      <x:c r="I29" s="11" t="str">
        <x:v>Regra/atribuição definida</x:v>
      </x:c>
    </x:row>
    <x:row r="30" ht="95" customHeight="1">
      <x:c r="A30" s="10" t="str">
        <x:v>L-14</x:v>
      </x:c>
      <x:c r="B30" s="10" t="str">
        <x:v>Recuperações</x:v>
      </x:c>
      <x:c r="C30" s="12" t="str">
        <x:v>Definida</x:v>
      </x:c>
      <x:c r="D30" s="10" t="str">
        <x:v>Definição vigente e trabalho técnico vinculado.</x:v>
      </x:c>
      <x:c r="E30" s="10" t="str">
        <x:v>Aplicar a definição vigente; execução, evidência e aceite são registrados nas tarefas relacionadas.</x:v>
      </x:c>
      <x:c r="F30" s="12" t="str">
        <x:v>Recuperação é evento rastreável; caixa depende de recebimento financeiro comprovado e inclusão na DRE segue documento e mapeamento contábil aprovados. Aprovação de ressarcimento não cria dinheiro.</x:v>
      </x:c>
      <x:c r="G30" s="10" t="str">
        <x:v>D_Lacunas!A16:G16; Fechamento das questões ainda tratadas como abertas — 13/09/2026</x:v>
      </x:c>
      <x:c r="H30" s="10" t="str">
        <x:v>BK-007</x:v>
      </x:c>
      <x:c r="I30" s="10" t="str">
        <x:v>Regra/atribuição definida</x:v>
      </x:c>
    </x:row>
    <x:row r="31" ht="95" customHeight="1">
      <x:c r="A31" s="11" t="str">
        <x:v>L-15</x:v>
      </x:c>
      <x:c r="B31" s="11" t="str">
        <x:v>Custo de carregar estoque</x:v>
      </x:c>
      <x:c r="C31" s="12" t="str">
        <x:v>Definida</x:v>
      </x:c>
      <x:c r="D31" s="11" t="str">
        <x:v>Definição vigente e trabalho técnico vinculado.</x:v>
      </x:c>
      <x:c r="E31" s="11" t="str">
        <x:v>Aplicar a definição vigente; execução, evidência e aceite são registrados nas tarefas relacionadas.</x:v>
      </x:c>
      <x:c r="F31" s="12" t="str">
        <x:v>Custo de carregamento pertence à análise econômica quando houver dado/regra comprovável. Sua ausência não bloqueia quantidade/prioridade do motor de compras; não inventar taxa.</x:v>
      </x:c>
      <x:c r="G31" s="11" t="str">
        <x:v>D_Lacunas!A17:G17; Fechamento das questões ainda tratadas como abertas — 13/09/2026</x:v>
      </x:c>
      <x:c r="H31" s="11" t="str"/>
      <x:c r="I31" s="11" t="str">
        <x:v>Regra/atribuição definida</x:v>
      </x:c>
    </x:row>
    <x:row r="32" ht="95" customHeight="1">
      <x:c r="A32" s="10" t="str">
        <x:v>L-16</x:v>
      </x:c>
      <x:c r="B32" s="10" t="str">
        <x:v>Mockup Logística</x:v>
      </x:c>
      <x:c r="C32" s="12" t="str">
        <x:v>Referência a localizar</x:v>
      </x:c>
      <x:c r="D32" s="10" t="str">
        <x:v>Definição vigente e trabalho técnico vinculado.</x:v>
      </x:c>
      <x:c r="E32" s="10" t="str">
        <x:v>Aplicar a definição vigente; execução, evidência e aceite são registrados nas tarefas relacionadas.</x:v>
      </x:c>
      <x:c r="F32" s="12" t="str">
        <x:v>Localizar última versão aprovada/congelada do bloco/tela; não reabrir UX nem criar rota por inferência.</x:v>
      </x:c>
      <x:c r="G32" s="10" t="str">
        <x:v>D_Lacunas!A18:G18; Fechamento das questões ainda tratadas como abertas — 13/09/2026</x:v>
      </x:c>
      <x:c r="H32" s="10" t="str">
        <x:v>BK-076</x:v>
      </x:c>
      <x:c r="I32" s="10" t="str">
        <x:v>Rastreabilidade documental</x:v>
      </x:c>
    </x:row>
    <x:row r="33" ht="95" customHeight="1">
      <x:c r="A33" s="11" t="str">
        <x:v>L-17</x:v>
      </x:c>
      <x:c r="B33" s="11" t="str">
        <x:v>Compras — quantidade recomendada</x:v>
      </x:c>
      <x:c r="C33" s="12" t="str">
        <x:v>Definida</x:v>
      </x:c>
      <x:c r="D33" s="11" t="str">
        <x:v>Definição vigente e trabalho técnico vinculado.</x:v>
      </x:c>
      <x:c r="E33" s="11" t="str">
        <x:v>Aplicar a definição vigente; execução, evidência e aceite são registrados nas tarefas relacionadas.</x:v>
      </x:c>
      <x:c r="F33" s="12" t="str">
        <x:v>Necessidade líquida usa demanda bruta, estoque utilizável e cobertura em tempo; pedido parcial reduz somente parte efetivamente coberta.</x:v>
      </x:c>
      <x:c r="G33" s="11" t="str">
        <x:v>D_Lacunas!A19:G19; Fechamento das questões ainda tratadas como abertas — 13/09/2026</x:v>
      </x:c>
      <x:c r="H33" s="11" t="str">
        <x:v>BK-008</x:v>
      </x:c>
      <x:c r="I33" s="11" t="str">
        <x:v>Regra/atribuição definida</x:v>
      </x:c>
    </x:row>
    <x:row r="34" ht="95" customHeight="1">
      <x:c r="A34" s="10" t="str">
        <x:v>L-18</x:v>
      </x:c>
      <x:c r="B34" s="10" t="str">
        <x:v>Compras — prioridade e prazo histórico</x:v>
      </x:c>
      <x:c r="C34" s="12" t="str">
        <x:v>Definida</x:v>
      </x:c>
      <x:c r="D34" s="10" t="str">
        <x:v>Definição vigente e trabalho técnico vinculado.</x:v>
      </x:c>
      <x:c r="E34" s="10" t="str">
        <x:v>Aplicar a definição vigente; execução, evidência e aceite são registrados nas tarefas relacionadas.</x:v>
      </x:c>
      <x:c r="F34" s="12" t="str">
        <x:v>Prioridade operacional usa risco, cobertura, lead time, pedidos e datas reais, com ordenação explicável. Estatística/janela é especificação técnica rastreável.</x:v>
      </x:c>
      <x:c r="G34" s="10" t="str">
        <x:v>D_Lacunas!A20:G20; Fechamento das questões ainda tratadas como abertas — 13/09/2026</x:v>
      </x:c>
      <x:c r="H34" s="10" t="str">
        <x:v>BK-008</x:v>
      </x:c>
      <x:c r="I34" s="10" t="str">
        <x:v>Regra/atribuição definida</x:v>
      </x:c>
    </x:row>
    <x:row r="35" ht="95" customHeight="1">
      <x:c r="A35" s="11" t="str">
        <x:v>L-19</x:v>
      </x:c>
      <x:c r="B35" s="11" t="str">
        <x:v>Cacau — sinais externos</x:v>
      </x:c>
      <x:c r="C35" s="12" t="str">
        <x:v>Definida</x:v>
      </x:c>
      <x:c r="D35" s="11" t="str">
        <x:v>Definição vigente e trabalho técnico vinculado.</x:v>
      </x:c>
      <x:c r="E35" s="11" t="str">
        <x:v>Aplicar a definição vigente; execução, evidência e aceite são registrados nas tarefas relacionadas.</x:v>
      </x:c>
      <x:c r="F35" s="12" t="str">
        <x:v>Refinamento técnico de fontes comparáveis e localidades reais; sinais não bloqueiam motor principal de compras.</x:v>
      </x:c>
      <x:c r="G35" s="11" t="str">
        <x:v>D_Lacunas!A21:G21; Consolidação das respostas do desenvolvimento — enviada pelo usuário em 13/09/2026; Fechamento das questões ainda tratadas como abertas — 13/09/2026</x:v>
      </x:c>
      <x:c r="H35" s="11" t="str">
        <x:v>BK-011</x:v>
      </x:c>
      <x:c r="I35" s="11" t="str">
        <x:v>Regra/atribuição definida</x:v>
      </x:c>
    </x:row>
    <x:row r="36" ht="95" customHeight="1">
      <x:c r="A36" s="10" t="str">
        <x:v>L-20</x:v>
      </x:c>
      <x:c r="B36" s="10" t="str">
        <x:v>Forecast — thresholds de qualidade</x:v>
      </x:c>
      <x:c r="C36" s="12" t="str">
        <x:v>Definida</x:v>
      </x:c>
      <x:c r="D36" s="10" t="str">
        <x:v>Definição vigente e trabalho técnico vinculado.</x:v>
      </x:c>
      <x:c r="E36" s="10" t="str">
        <x:v>Aplicar a definição vigente; execução, evidência e aceite são registrados nas tarefas relacionadas.</x:v>
      </x:c>
      <x:c r="F36" s="12" t="str">
        <x:v>Avaliação temporal e critérios de qualidade são execução técnica com cobertura histórica real, sem valores do mockup como prova.</x:v>
      </x:c>
      <x:c r="G36" s="10" t="str">
        <x:v>D_Lacunas!A22:G22; Consolidação das respostas do desenvolvimento — enviada pelo usuário em 13/09/2026; Fechamento das questões ainda tratadas como abertas — 13/09/2026</x:v>
      </x:c>
      <x:c r="H36" s="10" t="str">
        <x:v>BK-009</x:v>
      </x:c>
      <x:c r="I36" s="10" t="str">
        <x:v>Regra/atribuição definida</x:v>
      </x:c>
    </x:row>
    <x:row r="37" ht="95" customHeight="1">
      <x:c r="A37" s="11" t="str">
        <x:v>L-21</x:v>
      </x:c>
      <x:c r="B37" s="11" t="str">
        <x:v>Meta de faturamento — distribuição</x:v>
      </x:c>
      <x:c r="C37" s="12" t="str">
        <x:v>Definida</x:v>
      </x:c>
      <x:c r="D37" s="11" t="str">
        <x:v>Definição vigente e trabalho técnico vinculado.</x:v>
      </x:c>
      <x:c r="E37" s="11" t="str">
        <x:v>Aplicar a definição vigente; execução, evidência e aceite são registrados nas tarefas relacionadas.</x:v>
      </x:c>
      <x:c r="F37" s="12" t="str">
        <x:v>Não distribuir meta financeira automaticamente por SKU. Forecast vem do histórico; metas diretas por produto só quando explicitamente cadastradas.</x:v>
      </x:c>
      <x:c r="G37" s="11" t="str">
        <x:v>D_Lacunas!A23:G23; Fechamento das questões ainda tratadas como abertas — 13/09/2026</x:v>
      </x:c>
      <x:c r="H37" s="11" t="str">
        <x:v>BK-009</x:v>
      </x:c>
      <x:c r="I37" s="11" t="str">
        <x:v>Regra/atribuição definida</x:v>
      </x:c>
    </x:row>
    <x:row r="38" ht="95" customHeight="1">
      <x:c r="A38" s="10" t="str">
        <x:v>L-22</x:v>
      </x:c>
      <x:c r="B38" s="10" t="str">
        <x:v>Telas 13–15 — exportação</x:v>
      </x:c>
      <x:c r="C38" s="12" t="str">
        <x:v>Definida</x:v>
      </x:c>
      <x:c r="D38" s="10" t="str">
        <x:v>Definição vigente e trabalho técnico vinculado.</x:v>
      </x:c>
      <x:c r="E38" s="10" t="str">
        <x:v>Aplicar a definição vigente; execução, evidência e aceite são registrados nas tarefas relacionadas.</x:v>
      </x:c>
      <x:c r="F38" s="12" t="str">
        <x:v>Exportações previamente aprovadas continuam previstas, com o mesmo dado e filtro da tela. Exceção aprovada: T11 Compras é somente consulta, sem exportar ou baixar arquivos. Os formatos e contratos por tela permanecem para detalhamento técnico conforme G0-DECISION-REGISTER.md.</x:v>
      </x:c>
      <x:c r="G38" s="10" t="str">
        <x:v>D_Lacunas!A24:G24; Fechamento das questões ainda tratadas como abertas — 13/09/2026</x:v>
      </x:c>
      <x:c r="H38" s="10" t="str">
        <x:v>BK-012</x:v>
      </x:c>
      <x:c r="I38" s="10" t="str">
        <x:v>Regra/atribuição definida</x:v>
      </x:c>
    </x:row>
    <x:row r="39" ht="95" customHeight="1">
      <x:c r="A39" s="11" t="str">
        <x:v>L-23</x:v>
      </x:c>
      <x:c r="B39" s="11" t="str">
        <x:v>Tela 13 — resolução por tipo</x:v>
      </x:c>
      <x:c r="C39" s="12" t="str">
        <x:v>Definida</x:v>
      </x:c>
      <x:c r="D39" s="11" t="str">
        <x:v>Definição vigente e trabalho técnico vinculado.</x:v>
      </x:c>
      <x:c r="E39" s="11" t="str">
        <x:v>Aplicar a definição vigente; execução, evidência e aceite são registrados nas tarefas relacionadas.</x:v>
      </x:c>
      <x:c r="F39" s="12" t="str">
        <x:v>Ciclo de pendência rastreável, com ator/data/alteração/origem e justificativa técnica; resolução trata a causa dentro da capacidade correspondente.</x:v>
      </x:c>
      <x:c r="G39" s="11" t="str">
        <x:v>D_Lacunas!A25:G25; Fechamento das questões ainda tratadas como abertas — 13/09/2026</x:v>
      </x:c>
      <x:c r="H39" s="11" t="str">
        <x:v>BK-012</x:v>
      </x:c>
      <x:c r="I39" s="11" t="str">
        <x:v>Regra/atribuição definida</x:v>
      </x:c>
    </x:row>
    <x:row r="40" ht="95" customHeight="1">
      <x:c r="A40" s="10" t="str">
        <x:v>L-24</x:v>
      </x:c>
      <x:c r="B40" s="10" t="str">
        <x:v>Tela 15 — freshness por fonte</x:v>
      </x:c>
      <x:c r="C40" s="12" t="str">
        <x:v>Definida</x:v>
      </x:c>
      <x:c r="D40" s="10" t="str">
        <x:v>Definição vigente e trabalho técnico vinculado.</x:v>
      </x:c>
      <x:c r="E40" s="10" t="str">
        <x:v>Aplicar a definição vigente; execução, evidência e aceite são registrados nas tarefas relacionadas.</x:v>
      </x:c>
      <x:c r="F40" s="12" t="str">
        <x:v>Frequência/timeout/validade por fonte são configurações técnicas; análise/conciliação de movimentos usa D-1. Não manter D+1 como regra corrente.</x:v>
      </x:c>
      <x:c r="G40" s="10" t="str">
        <x:v>D_Lacunas!A26:G26; Consolidação das respostas do desenvolvimento — enviada pelo usuário em 13/09/2026; Fechamento das questões ainda tratadas como abertas — 13/09/2026</x:v>
      </x:c>
      <x:c r="H40" s="10" t="str">
        <x:v>BK-010</x:v>
      </x:c>
      <x:c r="I40" s="10" t="str">
        <x:v>Regra/atribuição definida</x:v>
      </x:c>
    </x:row>
    <x:row r="41" ht="95" customHeight="1">
      <x:c r="A41" s="11" t="str">
        <x:v>L-25</x:v>
      </x:c>
      <x:c r="B41" s="11" t="str">
        <x:v>Tela 16 — governança de edição de parâmetros</x:v>
      </x:c>
      <x:c r="C41" s="12" t="str">
        <x:v>Definida</x:v>
      </x:c>
      <x:c r="D41" s="11" t="str">
        <x:v>Definição vigente e trabalho técnico vinculado.</x:v>
      </x:c>
      <x:c r="E41" s="11" t="str">
        <x:v>Aplicar a definição vigente; execução, evidência e aceite são registrados nas tarefas relacionadas.</x:v>
      </x:c>
      <x:c r="F41" s="12" t="str">
        <x:v>Parâmetros editáveis por capacidade, com antes/depois, usuário, data e vigência. Período fechado não se altera silenciosamente; reprocessamento explícito auditado.</x:v>
      </x:c>
      <x:c r="G41" s="11" t="str">
        <x:v>D_Lacunas!A27:G27; Fechamento das questões ainda tratadas como abertas — 13/09/2026</x:v>
      </x:c>
      <x:c r="H41" s="11" t="str">
        <x:v>BK-013</x:v>
      </x:c>
      <x:c r="I41" s="11" t="str">
        <x:v>Regra/atribuição definida</x:v>
      </x:c>
    </x:row>
    <x:row r="42" ht="95" customHeight="1">
      <x:c r="A42" s="10" t="str">
        <x:v>L-26</x:v>
      </x:c>
      <x:c r="B42" s="10" t="str">
        <x:v>Tela 17 — identidade, ciclo de vida e matriz de permissões</x:v>
      </x:c>
      <x:c r="C42" s="12" t="str">
        <x:v>Definida</x:v>
      </x:c>
      <x:c r="D42" s="10" t="str">
        <x:v>Definição vigente e trabalho técnico vinculado.</x:v>
      </x:c>
      <x:c r="E42" s="10" t="str">
        <x:v>Aplicar a definição vigente; execução, evidência e aceite são registrados nas tarefas relacionadas.</x:v>
      </x:c>
      <x:c r="F42" s="12" t="str">
        <x:v>Arquitetura de identidade e matriz de capacidades são responsabilidade técnica; autorização não depende de nomes de diretores e segue menor privilégio.</x:v>
      </x:c>
      <x:c r="G42" s="10" t="str">
        <x:v>D_Lacunas!A28:G28; Fechamento das questões ainda tratadas como abertas — 13/09/2026</x:v>
      </x:c>
      <x:c r="H42" s="10" t="str">
        <x:v>BK-013</x:v>
      </x:c>
      <x:c r="I42" s="10" t="str">
        <x:v>Regra/atribuição definida</x:v>
      </x:c>
    </x:row>
    <x:row r="43" ht="95" customHeight="1">
      <x:c r="A43" s="11" t="str">
        <x:v>Q-01</x:v>
      </x:c>
      <x:c r="B43" s="11" t="str">
        <x:v>Referência visual</x:v>
      </x:c>
      <x:c r="C43" s="12" t="str">
        <x:v>Referência a localizar</x:v>
      </x:c>
      <x:c r="D43" s="11" t="str">
        <x:v>Definição vigente e trabalho técnico vinculado.</x:v>
      </x:c>
      <x:c r="E43" s="11" t="str">
        <x:v>Aplicar a definição vigente; execução, evidência e aceite são registrados nas tarefas relacionadas.</x:v>
      </x:c>
      <x:c r="F43" s="12" t="str">
        <x:v>Reproduzir a última referência visual aprovada/congelada; localizar o arquivo oficial se necessário. Não redesenhar menu/logo ou reabrir tela congelada.</x:v>
      </x:c>
      <x:c r="G43" s="11" t="str">
        <x:v>T12/T13 versus demais imagens; Fechamento das questões ainda tratadas como abertas — 13/09/2026</x:v>
      </x:c>
      <x:c r="H43" s="11" t="str">
        <x:v>BK-004, BK-021</x:v>
      </x:c>
      <x:c r="I43" s="11" t="str">
        <x:v>Rastreabilidade documental</x:v>
      </x:c>
    </x:row>
    <x:row r="44" ht="95" customHeight="1">
      <x:c r="A44" s="10" t="str">
        <x:v>Q-02</x:v>
      </x:c>
      <x:c r="B44" s="10" t="str">
        <x:v>Módulos sem especificação completa</x:v>
      </x:c>
      <x:c r="C44" s="12" t="str">
        <x:v>Referência a localizar</x:v>
      </x:c>
      <x:c r="D44" s="10" t="str">
        <x:v>Definição vigente e trabalho técnico vinculado.</x:v>
      </x:c>
      <x:c r="E44" s="10" t="str">
        <x:v>Aplicar a definição vigente; execução, evidência e aceite são registrados nas tarefas relacionadas.</x:v>
      </x:c>
      <x:c r="F44" s="12" t="str">
        <x:v>Localizar os artefatos aprovados dos módulos. Ausência física no pacote é rastreio documental, não nova aprovação de tela nem licença para inventar conteúdo.</x:v>
      </x:c>
      <x:c r="G44" s="10" t="str">
        <x:v>Menus; A_Matriz_Mestra; Fechamento das questões ainda tratadas como abertas — 13/09/2026</x:v>
      </x:c>
      <x:c r="H44" s="10" t="str">
        <x:v>BK-004, BK-021, BK-074, BK-102, BK-103</x:v>
      </x:c>
      <x:c r="I44" s="10" t="str">
        <x:v>Rastreabilidade documental</x:v>
      </x:c>
    </x:row>
    <x:row r="45" ht="95" customHeight="1">
      <x:c r="A45" s="11" t="str">
        <x:v>Q-03</x:v>
      </x:c>
      <x:c r="B45" s="11" t="str">
        <x:v>Máquina Windows</x:v>
      </x:c>
      <x:c r="C45" s="12" t="str">
        <x:v>Execução técnica pendente</x:v>
      </x:c>
      <x:c r="D45" s="11" t="str">
        <x:v>Definição vigente e trabalho técnico vinculado.</x:v>
      </x:c>
      <x:c r="E45" s="11" t="str">
        <x:v>Aplicar a definição vigente; execução, evidência e aceite são registrados nas tarefas relacionadas.</x:v>
      </x:c>
      <x:c r="F45" s="12" t="str">
        <x:v>Inventariar host Windows e recursos por inspeção técnica quando disponível; não inventar CPU/RAM/disco nem devolver dimensionamento como pergunta financeira.</x:v>
      </x:c>
      <x:c r="G45" s="11" t="str">
        <x:v>Resposta do usuário: Windows; demais dados desconhecidos; Fechamento das questões ainda tratadas como abertas — 13/09/2026</x:v>
      </x:c>
      <x:c r="H45" s="11" t="str">
        <x:v>BK-014</x:v>
      </x:c>
      <x:c r="I45" s="11" t="str">
        <x:v>Execução técnica</x:v>
      </x:c>
    </x:row>
    <x:row r="46" ht="95" customHeight="1">
      <x:c r="A46" s="10" t="str">
        <x:v>Q-04</x:v>
      </x:c>
      <x:c r="B46" s="10" t="str">
        <x:v>Locais de acesso</x:v>
      </x:c>
      <x:c r="C46" s="12" t="str">
        <x:v>Definida</x:v>
      </x:c>
      <x:c r="D46" s="10" t="str">
        <x:v>Definição vigente e trabalho técnico vinculado.</x:v>
      </x:c>
      <x:c r="E46" s="10" t="str">
        <x:v>Aplicar a definição vigente; execução, evidência e aceite são registrados nas tarefas relacionadas.</x:v>
      </x:c>
      <x:c r="F46" s="12" t="str">
        <x:v>Acesso autenticado. Acesso externo é condicional a habilitação explícita e usa canal seguro; esta rodada não publica/expoe serviços.</x:v>
      </x:c>
      <x:c r="G46" s="10" t="str">
        <x:v>Uso em três computadores confirmado; Fechamento das questões ainda tratadas como abertas — 13/09/2026</x:v>
      </x:c>
      <x:c r="H46" s="10" t="str">
        <x:v>BK-014</x:v>
      </x:c>
      <x:c r="I46" s="10" t="str">
        <x:v>Regra/atribuição definida</x:v>
      </x:c>
    </x:row>
    <x:row r="47" ht="95" customHeight="1">
      <x:c r="A47" s="11" t="str">
        <x:v>Q-05</x:v>
      </x:c>
      <x:c r="B47" s="11" t="str">
        <x:v>Disponibilidade local</x:v>
      </x:c>
      <x:c r="C47" s="12" t="str">
        <x:v>Definida</x:v>
      </x:c>
      <x:c r="D47" s="11" t="str">
        <x:v>Definição vigente e trabalho técnico vinculado.</x:v>
      </x:c>
      <x:c r="E47" s="11" t="str">
        <x:v>Aplicar a definição vigente; execução, evidência e aceite são registrados nas tarefas relacionadas.</x:v>
      </x:c>
      <x:c r="F47" s="12" t="str">
        <x:v>Propor serviços sem sessão humana, inicialização controlada e comportamento documentado com falhas de energia/internet; validar funcionamento desejado na implantação.</x:v>
      </x:c>
      <x:c r="G47" s="11" t="str">
        <x:v>Hospedagem local; Fechamento das questões ainda tratadas como abertas — 13/09/2026</x:v>
      </x:c>
      <x:c r="H47" s="11" t="str">
        <x:v>BK-014</x:v>
      </x:c>
      <x:c r="I47" s="11" t="str">
        <x:v>Regra/atribuição definida</x:v>
      </x:c>
    </x:row>
    <x:row r="48" ht="95" customHeight="1">
      <x:c r="A48" s="10" t="str">
        <x:v>Q-06</x:v>
      </x:c>
      <x:c r="B48" s="10" t="str">
        <x:v>Contas e fontes reais</x:v>
      </x:c>
      <x:c r="C48" s="12" t="str">
        <x:v>Definida</x:v>
      </x:c>
      <x:c r="D48" s="10" t="str">
        <x:v>Definição vigente e trabalho técnico vinculado.</x:v>
      </x:c>
      <x:c r="E48" s="10" t="str">
        <x:v>Aplicar a definição vigente; execução, evidência e aceite são registrados nas tarefas relacionadas.</x:v>
      </x:c>
      <x:c r="F48" s="12" t="str">
        <x:v>Bling/API concentra operacional/financeiro, Itaú principal, Mercado Pago e Conta Caixa/investimentos; Drive contém apenas perdas, Nuvem Pago e Nuvem Envio. Cacau continua refinamento posterior. Identificadores e capacidade real do Bling são verificações técnicas.</x:v>
      </x:c>
      <x:c r="G48" s="10" t="str">
        <x:v>H_Contrato_Dados; M-008; T15; Consolidação das respostas do desenvolvimento — enviada pelo usuário em 13/09/2026; Fechamento das questões ainda tratadas como abertas — 13/09/2026</x:v>
      </x:c>
      <x:c r="H48" s="10" t="str">
        <x:v>BK-010</x:v>
      </x:c>
      <x:c r="I48" s="10" t="str">
        <x:v>Regra/atribuição definida</x:v>
      </x:c>
    </x:row>
    <x:row r="49" ht="95" customHeight="1">
      <x:c r="A49" s="11" t="str">
        <x:v>Q-07</x:v>
      </x:c>
      <x:c r="B49" s="11" t="str">
        <x:v>Estoque e pedido aplicável</x:v>
      </x:c>
      <x:c r="C49" s="12" t="str">
        <x:v>Definida</x:v>
      </x:c>
      <x:c r="D49" s="11" t="str">
        <x:v>Definição vigente e trabalho técnico vinculado.</x:v>
      </x:c>
      <x:c r="E49" s="11" t="str">
        <x:v>Aplicar a definição vigente; execução, evidência e aceite são registrados nas tarefas relacionadas.</x:v>
      </x:c>
      <x:c r="F49" s="12" t="str">
        <x:v>Pedido parcial não elimina compra: descontar só quantidade pendente em tempo. Depósito vem inequivocamente do Bling; ausência não é hipótese.</x:v>
      </x:c>
      <x:c r="G49" s="11" t="str">
        <x:v>T09; Q_CEI_Tela_11; Consolidação das respostas do desenvolvimento — enviada pelo usuário em 13/09/2026; Fechamento das questões ainda tratadas como abertas — 13/09/2026</x:v>
      </x:c>
      <x:c r="H49" s="11" t="str">
        <x:v>BK-008</x:v>
      </x:c>
      <x:c r="I49" s="11" t="str">
        <x:v>Regra/atribuição definida</x:v>
      </x:c>
    </x:row>
    <x:row r="50" ht="95" customHeight="1">
      <x:c r="A50" s="10" t="str">
        <x:v>Q-08</x:v>
      </x:c>
      <x:c r="B50" s="10" t="str">
        <x:v>Situação das metas</x:v>
      </x:c>
      <x:c r="C50" s="12" t="str">
        <x:v>Definida</x:v>
      </x:c>
      <x:c r="D50" s="10" t="str">
        <x:v>Definição vigente e trabalho técnico vinculado.</x:v>
      </x:c>
      <x:c r="E50" s="10" t="str">
        <x:v>Aplicar a definição vigente; execução, evidência e aceite são registrados nas tarefas relacionadas.</x:v>
      </x:c>
      <x:c r="F50" s="12" t="str">
        <x:v>Status depende de realizado, meta e posição temporal do plano. Sem granularidade suficiente, não classificar atraso arbitrário ou assumir progresso linear.</x:v>
      </x:c>
      <x:c r="G50" s="10" t="str">
        <x:v>T10; Fechamento das questões ainda tratadas como abertas — 13/09/2026</x:v>
      </x:c>
      <x:c r="H50" s="10" t="str">
        <x:v>BK-008, BK-079</x:v>
      </x:c>
      <x:c r="I50" s="10" t="str">
        <x:v>Regra/atribuição definida</x:v>
      </x:c>
    </x:row>
    <x:row r="51" ht="95" customHeight="1">
      <x:c r="A51" s="11" t="str">
        <x:v>Q-09</x:v>
      </x:c>
      <x:c r="B51" s="11" t="str">
        <x:v>Uso dos demonstrativos</x:v>
      </x:c>
      <x:c r="C51" s="12" t="str">
        <x:v>Definida</x:v>
      </x:c>
      <x:c r="D51" s="11" t="str">
        <x:v>Definição vigente e trabalho técnico vinculado.</x:v>
      </x:c>
      <x:c r="E51" s="11" t="str">
        <x:v>Aplicar a definição vigente; execução, evidência e aceite são registrados nas tarefas relacionadas.</x:v>
      </x:c>
      <x:c r="F51" s="12" t="str">
        <x:v>A DRE é calculada pelo Majucau com lançamentos de origem e regras contábeis aprovadas; o relatório pronto do Bling serve para comparação. O balancete continua usando a base do Bling conforme campos disponíveis. Validar tecnicamente e não presumir campos ausentes.</x:v>
      </x:c>
      <x:c r="G51" s="11" t="str">
        <x:v>T06/T07; Fechamento das questões ainda tratadas como abertas — 13/09/2026</x:v>
      </x:c>
      <x:c r="H51" s="11" t="str">
        <x:v>BK-007</x:v>
      </x:c>
      <x:c r="I51" s="11" t="str">
        <x:v>Regra/atribuição definida</x:v>
      </x:c>
    </x:row>
    <x:row r="52" ht="95" customHeight="1">
      <x:c r="A52" s="10" t="str">
        <x:v>Q-10</x:v>
      </x:c>
      <x:c r="B52" s="10" t="str">
        <x:v>Período e limite de aplicação</x:v>
      </x:c>
      <x:c r="C52" s="12" t="str">
        <x:v>Definida</x:v>
      </x:c>
      <x:c r="D52" s="10" t="str">
        <x:v>Definição vigente e trabalho técnico vinculado.</x:v>
      </x:c>
      <x:c r="E52" s="10" t="str">
        <x:v>Aplicar a definição vigente; execução, evidência e aceite são registrados nas tarefas relacionadas.</x:v>
      </x:c>
      <x:c r="F52" s="12" t="str">
        <x:v>Calculadora fechada. O lucro elegível vem da DRE calculada pelo Majucau; preservar fórmulas M-030/M-034, janela e Já Investido (principal líquido de resgates). O valor executável é limitado pelo saldo transferível do Itaú.</x:v>
      </x:c>
      <x:c r="G52" s="10" t="str">
        <x:v>M-030..M-034; T08; Consolidação das respostas do desenvolvimento — enviada pelo usuário em 13/09/2026; Fechamento das questões ainda tratadas como abertas — 13/09/2026</x:v>
      </x:c>
      <x:c r="H52" s="10" t="str">
        <x:v>BK-006, BK-071</x:v>
      </x:c>
      <x:c r="I52" s="10" t="str">
        <x:v>Regra/atribuição definida</x:v>
      </x:c>
    </x:row>
    <x:row r="53" ht="95" customHeight="1">
      <x:c r="A53" s="11" t="str">
        <x:v>Q-11</x:v>
      </x:c>
      <x:c r="B53" s="11" t="str">
        <x:v>Vendas para produção projetada</x:v>
      </x:c>
      <x:c r="C53" s="12" t="str">
        <x:v>Definida</x:v>
      </x:c>
      <x:c r="D53" s="11" t="str">
        <x:v>Definição vigente e trabalho técnico vinculado.</x:v>
      </x:c>
      <x:c r="E53" s="11" t="str">
        <x:v>Aplicar a definição vigente; execução, evidência e aceite são registrados nas tarefas relacionadas.</x:v>
      </x:c>
      <x:c r="F53" s="12" t="str">
        <x:v>Produção necessária considera demanda, estoque-alvo e estoque/produção válidos no horizonte; contrato anterior sem desconto de estoque foi superado. Documentar normalização técnica da fórmula.</x:v>
      </x:c>
      <x:c r="G53" s="11" t="str">
        <x:v>M-047; T12; Fechamento das questões ainda tratadas como abertas — 13/09/2026</x:v>
      </x:c>
      <x:c r="H53" s="11" t="str">
        <x:v>BK-009, BK-092</x:v>
      </x:c>
      <x:c r="I53" s="11" t="str">
        <x:v>Regra/atribuição definida</x:v>
      </x:c>
    </x:row>
    <x:row r="54" ht="95" customHeight="1">
      <x:c r="A54" s="10" t="str">
        <x:v>Q-12</x:v>
      </x:c>
      <x:c r="B54" s="10" t="str">
        <x:v>Relação entre metas</x:v>
      </x:c>
      <x:c r="C54" s="12" t="str">
        <x:v>Definida</x:v>
      </x:c>
      <x:c r="D54" s="10" t="str">
        <x:v>Definição vigente e trabalho técnico vinculado.</x:v>
      </x:c>
      <x:c r="E54" s="10" t="str">
        <x:v>Aplicar a definição vigente; execução, evidência e aceite são registrados nas tarefas relacionadas.</x:v>
      </x:c>
      <x:c r="F54" s="12" t="str">
        <x:v>T01/T10 compartilham a mesma informação de produção. Metas são planejamento versionado, distinto de realizado e forecast T12; não criar metas independentes para o mesmo indicador nem sincronizar conceitos diferentes automaticamente.</x:v>
      </x:c>
      <x:c r="G54" s="10" t="str">
        <x:v>T10/T12/T16; Fechamento das questões ainda tratadas como abertas — 13/09/2026</x:v>
      </x:c>
      <x:c r="H54" s="10" t="str">
        <x:v>BK-009, BK-079</x:v>
      </x:c>
      <x:c r="I54" s="10" t="str">
        <x:v>Regra/atribuição definida</x:v>
      </x:c>
    </x:row>
    <x:row r="55" ht="95" customHeight="1">
      <x:c r="A55" s="11" t="str">
        <x:v>Q-13</x:v>
      </x:c>
      <x:c r="B55" s="11" t="str">
        <x:v>Ações visíveis e exportação</x:v>
      </x:c>
      <x:c r="C55" s="12" t="str">
        <x:v>Definida</x:v>
      </x:c>
      <x:c r="D55" s="11" t="str">
        <x:v>Definição vigente e trabalho técnico vinculado.</x:v>
      </x:c>
      <x:c r="E55" s="11" t="str">
        <x:v>Aplicar a definição vigente; execução, evidência e aceite são registrados nas tarefas relacionadas.</x:v>
      </x:c>
      <x:c r="F55" s="12" t="str">
        <x:v>Ações seguem as referências aprovadas. T11 Compras permanece somente consulta, sem exportar/baixar ou gerar/alterar pedidos; demais exportações aprovadas são preservadas e detalhadas por tela, sem redesenho.</x:v>
      </x:c>
      <x:c r="G55" s="11" t="str">
        <x:v>T02–T07; T13–T15; L-22; Fechamento das questões ainda tratadas como abertas — 13/09/2026</x:v>
      </x:c>
      <x:c r="H55" s="11" t="str">
        <x:v>BK-012</x:v>
      </x:c>
      <x:c r="I55" s="11" t="str">
        <x:v>Regra/atribuição definida</x:v>
      </x:c>
    </x:row>
    <x:row r="56" ht="95" customHeight="1">
      <x:c r="A56" s="10" t="str">
        <x:v>Q-14</x:v>
      </x:c>
      <x:c r="B56" s="10" t="str">
        <x:v>Permissões da diretoria</x:v>
      </x:c>
      <x:c r="C56" s="12" t="str">
        <x:v>Definida</x:v>
      </x:c>
      <x:c r="D56" s="10" t="str">
        <x:v>Definição vigente e trabalho técnico vinculado.</x:v>
      </x:c>
      <x:c r="E56" s="10" t="str">
        <x:v>Aplicar a definição vigente; execução, evidência e aceite são registrados nas tarefas relacionadas.</x:v>
      </x:c>
      <x:c r="F56" s="12" t="str">
        <x:v>Login próprio do Majucau: perfil ADMIN para Financeiro e conta compartilhada para Diretores. Diretores consultam, sincronizam, importam CSV como sincronização e exportam backups e relatórios. A conta compartilhada não identifica qual diretor executou a ação; MFA, sessão, recuperação, provisionamento e autorização efetiva continuam pendentes. Ver G0-DECISION-REGISTER.md.</x:v>
      </x:c>
      <x:c r="G56" s="10" t="str">
        <x:v>T17; L-26; Fechamento das questões ainda tratadas como abertas — 13/09/2026</x:v>
      </x:c>
      <x:c r="H56" s="10" t="str">
        <x:v>BK-013</x:v>
      </x:c>
      <x:c r="I56" s="10" t="str">
        <x:v>Regra/atribuição definida</x:v>
      </x:c>
    </x:row>
    <x:row r="57" ht="95" customHeight="1">
      <x:c r="A57" s="11" t="str">
        <x:v>Q-15</x:v>
      </x:c>
      <x:c r="B57" s="11" t="str">
        <x:v>Recuperação</x:v>
      </x:c>
      <x:c r="C57" s="12" t="str">
        <x:v>Execução técnica pendente</x:v>
      </x:c>
      <x:c r="D57" s="11" t="str">
        <x:v>Definição vigente e trabalho técnico vinculado.</x:v>
      </x:c>
      <x:c r="E57" s="11" t="str">
        <x:v>Aplicar a definição vigente; execução, evidência e aceite são registrados nas tarefas relacionadas.</x:v>
      </x:c>
      <x:c r="F57" s="12" t="str">
        <x:v>Desenvolvimento propõe objetivos de recuperação, backup e procedimento; medir restauração e validar funcionamento desejado. Não registrar prazo/perda tolerável como já aprovados sem evidência.</x:v>
      </x:c>
      <x:c r="G57" s="11" t="str">
        <x:v>Requisito de produção local; Fechamento das questões ainda tratadas como abertas — 13/09/2026</x:v>
      </x:c>
      <x:c r="H57" s="11" t="str">
        <x:v>BK-014</x:v>
      </x:c>
      <x:c r="I57" s="11" t="str">
        <x:v>Execução técnica</x:v>
      </x:c>
    </x:row>
    <x:row r="58" ht="95" customHeight="1">
      <x:c r="A58" s="10" t="str">
        <x:v>Q-16</x:v>
      </x:c>
      <x:c r="B58" s="10" t="str">
        <x:v>Backup e responsável</x:v>
      </x:c>
      <x:c r="C58" s="12" t="str">
        <x:v>Execução técnica pendente</x:v>
      </x:c>
      <x:c r="D58" s="10" t="str">
        <x:v>Definição vigente e trabalho técnico vinculado.</x:v>
      </x:c>
      <x:c r="E58" s="10" t="str">
        <x:v>Aplicar a definição vigente; execução, evidência e aceite são registrados nas tarefas relacionadas.</x:v>
      </x:c>
      <x:c r="F58" s="12" t="str">
        <x:v>Projetar backup automático de dados locais, configuração e histórico; destino seguro fora do disco único e das três estruturas read-only; documentação de operador/suporte.</x:v>
      </x:c>
      <x:c r="G58" s="10" t="str">
        <x:v>Requisito de produção local; Fechamento das questões ainda tratadas como abertas — 13/09/2026</x:v>
      </x:c>
      <x:c r="H58" s="10" t="str">
        <x:v>BK-014</x:v>
      </x:c>
      <x:c r="I58" s="10" t="str">
        <x:v>Execução técnica</x:v>
      </x:c>
    </x:row>
    <x:row r="59" ht="95" customHeight="1">
      <x:c r="A59" s="11" t="str">
        <x:v>Q-17</x:v>
      </x:c>
      <x:c r="B59" s="11" t="str">
        <x:v>Prazo e equipe</x:v>
      </x:c>
      <x:c r="C59" s="12" t="str">
        <x:v>Execução técnica pendente</x:v>
      </x:c>
      <x:c r="D59" s="11" t="str">
        <x:v>Definição vigente e trabalho técnico vinculado.</x:v>
      </x:c>
      <x:c r="E59" s="11" t="str">
        <x:v>Aplicar a definição vigente; execução, evidência e aceite são registrados nas tarefas relacionadas.</x:v>
      </x:c>
      <x:c r="F59" s="12" t="str">
        <x:v>Organizar capacidade, estimativas e responsáveis por papel tecnicamente. Prazo real depende de alocação e evidências, sem prometê-lo ou converter isso em regra financeira.</x:v>
      </x:c>
      <x:c r="G59" s="11" t="str">
        <x:v>Pergunta inicial respondida apenas quanto à hospedagem; Fechamento das questões ainda tratadas como abertas — 13/09/2026</x:v>
      </x:c>
      <x:c r="H59" s="11" t="str">
        <x:v>BK-015</x:v>
      </x:c>
      <x:c r="I59" s="11" t="str">
        <x:v>Execução técnica</x:v>
      </x:c>
    </x:row>
    <x:row r="60" ht="95" customHeight="1">
      <x:c r="A60" s="10" t="str">
        <x:v>Q-18</x:v>
      </x:c>
      <x:c r="B60" s="10" t="str">
        <x:v>Dispositivos e linguagem</x:v>
      </x:c>
      <x:c r="C60" s="12" t="str">
        <x:v>Definida</x:v>
      </x:c>
      <x:c r="D60" s="10" t="str">
        <x:v>Definição vigente e trabalho técnico vinculado.</x:v>
      </x:c>
      <x:c r="E60" s="10" t="str">
        <x:v>Aplicar a definição vigente; execução, evidência e aceite são registrados nas tarefas relacionadas.</x:v>
      </x:c>
      <x:c r="F60" s="12" t="str">
        <x:v>Preservar visual congelado; acessibilidade, foco e estados técnicos dentro do padrão existente. Não usar responsividade como autorização de redesenho.</x:v>
      </x:c>
      <x:c r="G60" s="10" t="str">
        <x:v>Gaps UX em todas as imagens; Fechamento das questões ainda tratadas como abertas — 13/09/2026</x:v>
      </x:c>
      <x:c r="H60" s="10" t="str">
        <x:v>BK-021, BK-022</x:v>
      </x:c>
      <x:c r="I60" s="10" t="str">
        <x:v>Regra/atribuição definida</x:v>
      </x:c>
    </x:row>
    <x:row r="61" ht="95" customHeight="1">
      <x:c r="A61" s="11" t="str">
        <x:v>Q-19</x:v>
      </x:c>
      <x:c r="B61" s="11" t="str">
        <x:v>Conciliação detalhada</x:v>
      </x:c>
      <x:c r="C61" s="12" t="str">
        <x:v>Definida</x:v>
      </x:c>
      <x:c r="D61" s="11" t="str">
        <x:v>Definição vigente e trabalho técnico vinculado.</x:v>
      </x:c>
      <x:c r="E61" s="11" t="str">
        <x:v>Aplicar a definição vigente; execução, evidência e aceite são registrados nas tarefas relacionadas.</x:v>
      </x:c>
      <x:c r="F61" s="12" t="str">
        <x:v>ID Bling prioritário; identificação/nome + valor no fallback; ambiguidade fica para conferência, sem tolerância de valor inventada.</x:v>
      </x:c>
      <x:c r="G61" s="11" t="str">
        <x:v>T05; M-008; Consolidação das respostas do desenvolvimento — enviada pelo usuário em 13/09/2026; Fechamento das questões ainda tratadas como abertas — 13/09/2026</x:v>
      </x:c>
      <x:c r="H61" s="11" t="str">
        <x:v>BK-053</x:v>
      </x:c>
      <x:c r="I61" s="11" t="str">
        <x:v>Regra/atribuição definida</x:v>
      </x:c>
    </x:row>
    <x:row r="62" ht="95" customHeight="1">
      <x:c r="A62" s="10" t="str">
        <x:v>Q-20</x:v>
      </x:c>
      <x:c r="B62" s="10" t="str">
        <x:v>Recebimentos e status</x:v>
      </x:c>
      <x:c r="C62" s="12" t="str">
        <x:v>Definida</x:v>
      </x:c>
      <x:c r="D62" s="10" t="str">
        <x:v>Definição vigente e trabalho técnico vinculado.</x:v>
      </x:c>
      <x:c r="E62" s="10" t="str">
        <x:v>Aplicar a definição vigente; execução, evidência e aceite são registrados nas tarefas relacionadas.</x:v>
      </x:c>
      <x:c r="F62" s="12" t="str">
        <x:v>Agenda futura é previsão; Bling fornece fato financeiro. Aplicar D-1 ao realizado normal; pendente de conciliação fica fora de indicador que exige valor reconciliado.</x:v>
      </x:c>
      <x:c r="G62" s="10" t="str">
        <x:v>T03/T05; Fechamento das questões ainda tratadas como abertas — 13/09/2026</x:v>
      </x:c>
      <x:c r="H62" s="10" t="str">
        <x:v>BK-056</x:v>
      </x:c>
      <x:c r="I62" s="10" t="str">
        <x:v>Regra/atribuição definida</x:v>
      </x:c>
    </x:row>
    <x:row r="63" ht="95" customHeight="1">
      <x:c r="A63" s="11" t="str">
        <x:v>Q-21</x:v>
      </x:c>
      <x:c r="B63" s="11" t="str">
        <x:v>Calendário e caixa da semana</x:v>
      </x:c>
      <x:c r="C63" s="12" t="str">
        <x:v>Definida</x:v>
      </x:c>
      <x:c r="D63" s="11" t="str">
        <x:v>Definição vigente e trabalho técnico vinculado.</x:v>
      </x:c>
      <x:c r="E63" s="11" t="str">
        <x:v>Aplicar a definição vigente; execução, evidência e aceite são registrados nas tarefas relacionadas.</x:v>
      </x:c>
      <x:c r="F63" s="12" t="str">
        <x:v>Calculadora fechada; calendário/corte e contrato de caixa são especificação técnica. Corte normal D-1; não escolher posição crítica por conveniência nem criar regra fixa de sexta-feira.</x:v>
      </x:c>
      <x:c r="G63" s="11" t="str">
        <x:v>T02/T08; L-07; Fechamento das questões ainda tratadas como abertas — 13/09/2026</x:v>
      </x:c>
      <x:c r="H63" s="11" t="str">
        <x:v>BK-006, BK-060</x:v>
      </x:c>
      <x:c r="I63" s="11" t="str">
        <x:v>Regra/atribuição definida</x:v>
      </x:c>
    </x:row>
    <x:row r="64" ht="95" customHeight="1">
      <x:c r="A64" s="10" t="str">
        <x:v>Q-22</x:v>
      </x:c>
      <x:c r="B64" s="10" t="str">
        <x:v>Gráfico da DRE</x:v>
      </x:c>
      <x:c r="C64" s="12" t="str">
        <x:v>Definida</x:v>
      </x:c>
      <x:c r="D64" s="10" t="str">
        <x:v>Definição vigente e trabalho técnico vinculado.</x:v>
      </x:c>
      <x:c r="E64" s="10" t="str">
        <x:v>Aplicar a definição vigente; execução, evidência e aceite são registrados nas tarefas relacionadas.</x:v>
      </x:c>
      <x:c r="F64" s="12" t="str">
        <x:v>Preservar gráfico aprovado e usar métrica/base de cálculo da documentação funcional; valores demonstrativos não impõem resultado. Não somar subtotais sobrepostos como população única.</x:v>
      </x:c>
      <x:c r="G64" s="10" t="str">
        <x:v>T06; Fechamento das questões ainda tratadas como abertas — 13/09/2026</x:v>
      </x:c>
      <x:c r="H64" s="10" t="str">
        <x:v>BK-067</x:v>
      </x:c>
      <x:c r="I64" s="10" t="str">
        <x:v>Regra/atribuição definida</x:v>
      </x:c>
    </x:row>
    <x:row r="65" ht="95" customHeight="1">
      <x:c r="A65" s="11" t="str">
        <x:v>Q-23</x:v>
      </x:c>
      <x:c r="B65" s="11" t="str">
        <x:v>Saldos do balancete</x:v>
      </x:c>
      <x:c r="C65" s="12" t="str">
        <x:v>Definida</x:v>
      </x:c>
      <x:c r="D65" s="11" t="str">
        <x:v>Definição vigente e trabalho técnico vinculado.</x:v>
      </x:c>
      <x:c r="E65" s="11" t="str">
        <x:v>Aplicar a definição vigente; execução, evidência e aceite são registrados nas tarefas relacionadas.</x:v>
      </x:c>
      <x:c r="F65" s="12" t="str">
        <x:v>Usar contas, natureza e saldos do Bling, preservando competência; ausência de saldo não equivale a zero. Conferir totais na mesma posição.</x:v>
      </x:c>
      <x:c r="G65" s="11" t="str">
        <x:v>T07; L-08; Fechamento das questões ainda tratadas como abertas — 13/09/2026</x:v>
      </x:c>
      <x:c r="H65" s="11" t="str">
        <x:v>BK-069</x:v>
      </x:c>
      <x:c r="I65" s="11" t="str">
        <x:v>Regra/atribuição definida</x:v>
      </x:c>
    </x:row>
    <x:row r="66" ht="95" customHeight="1">
      <x:c r="A66" s="10" t="str">
        <x:v>Q-24</x:v>
      </x:c>
      <x:c r="B66" s="10" t="str">
        <x:v>Ficha técnica de insumos</x:v>
      </x:c>
      <x:c r="C66" s="12" t="str">
        <x:v>Definida</x:v>
      </x:c>
      <x:c r="D66" s="10" t="str">
        <x:v>Definição vigente e trabalho técnico vinculado.</x:v>
      </x:c>
      <x:c r="E66" s="10" t="str">
        <x:v>Aplicar a definição vigente; execução, evidência e aceite são registrados nas tarefas relacionadas.</x:v>
      </x:c>
      <x:c r="F66" s="12" t="str">
        <x:v>Homologar campos reais de BOM, unidades e fatores industriais existentes; perdas operacionais não são yield/scrap. Não pedir nova regra genérica já fechada.</x:v>
      </x:c>
      <x:c r="G66" s="10" t="str">
        <x:v>H_Contrato_Dados!A12:H12; T12; Consolidação das respostas do desenvolvimento — enviada pelo usuário em 13/09/2026; Fechamento das questões ainda tratadas como abertas — 13/09/2026</x:v>
      </x:c>
      <x:c r="H66" s="10" t="str">
        <x:v>BK-094</x:v>
      </x:c>
      <x:c r="I66" s="10" t="str">
        <x:v>Regra/atribuição definida</x:v>
      </x:c>
    </x:row>
    <x:row r="67" ht="95" customHeight="1">
      <x:c r="A67" s="11" t="str">
        <x:v>Q-25</x:v>
      </x:c>
      <x:c r="B67" s="11" t="str">
        <x:v>Resumo financeiro projetado</x:v>
      </x:c>
      <x:c r="C67" s="12" t="str">
        <x:v>Referência a localizar</x:v>
      </x:c>
      <x:c r="D67" s="11" t="str">
        <x:v>Definição vigente e trabalho técnico vinculado.</x:v>
      </x:c>
      <x:c r="E67" s="11" t="str">
        <x:v>Aplicar a definição vigente; execução, evidência e aceite são registrados nas tarefas relacionadas.</x:v>
      </x:c>
      <x:c r="F67" s="12" t="str">
        <x:v>Implementar aba prevista na referência aprovada; cenário é planejamento, sem forçar meta de faturamento a coincidir com SKUs por rateio fictício.</x:v>
      </x:c>
      <x:c r="G67" s="11" t="str">
        <x:v>T12; Fechamento das questões ainda tratadas como abertas — 13/09/2026</x:v>
      </x:c>
      <x:c r="H67" s="11" t="str">
        <x:v>BK-095</x:v>
      </x:c>
      <x:c r="I67" s="11" t="str">
        <x:v>Rastreabilidade documental</x:v>
      </x:c>
    </x:row>
    <x:row r="68" ht="95" customHeight="1">
      <x:c r="A68" s="10" t="str">
        <x:v>Q-26</x:v>
      </x:c>
      <x:c r="B68" s="10" t="str">
        <x:v>Alertas e monitoramento</x:v>
      </x:c>
      <x:c r="C68" s="12" t="str">
        <x:v>Definida</x:v>
      </x:c>
      <x:c r="D68" s="10" t="str">
        <x:v>Definição vigente e trabalho técnico vinculado.</x:v>
      </x:c>
      <x:c r="E68" s="10" t="str">
        <x:v>Aplicar a definição vigente; execução, evidência e aceite são registrados nas tarefas relacionadas.</x:v>
      </x:c>
      <x:c r="F68" s="12" t="str">
        <x:v>Comportamento/prioridade vêm da documentação consolidada e visual da última referência aprovada. Modelar monitoramento técnico e canais habilitados sem notificações externas presumidas.</x:v>
      </x:c>
      <x:c r="G68" s="10" t="str">
        <x:v>T14; T_CEI_Tela_14; Fechamento das questões ainda tratadas como abertas — 13/09/2026</x:v>
      </x:c>
      <x:c r="H68" s="10" t="str">
        <x:v>BK-120</x:v>
      </x:c>
      <x:c r="I68" s="10" t="str">
        <x:v>Regra/atribuição definida</x:v>
      </x:c>
    </x:row>
    <x:row r="69" ht="95" customHeight="1">
      <x:c r="A69" s="11" t="str">
        <x:v>Q-27</x:v>
      </x:c>
      <x:c r="B69" s="11" t="str">
        <x:v>Indicadores de prazo</x:v>
      </x:c>
      <x:c r="C69" s="12" t="str">
        <x:v>Execução técnica pendente</x:v>
      </x:c>
      <x:c r="D69" s="11" t="str">
        <x:v>Definição vigente e trabalho técnico vinculado.</x:v>
      </x:c>
      <x:c r="E69" s="11" t="str">
        <x:v>Aplicar a definição vigente; execução, evidência e aceite são registrados nas tarefas relacionadas.</x:v>
      </x:c>
      <x:c r="F69" s="12" t="str">
        <x:v>Especificar tecnicamente fórmulas, unidades, períodos e fontes dos indicadores já aprovados; reproduzir componentes comprováveis e indisponibilidade, sem inventar números do mockup.</x:v>
      </x:c>
      <x:c r="G69" s="11" t="str">
        <x:v>T08; B_Intersecoes!A12:I12; Fechamento das questões ainda tratadas como abertas — 13/09/2026</x:v>
      </x:c>
      <x:c r="H69" s="11" t="str">
        <x:v>BK-070</x:v>
      </x:c>
      <x:c r="I69" s="11" t="str">
        <x:v>Execução técnica</x:v>
      </x:c>
    </x:row>
    <x:row r="70" ht="95" customHeight="1">
      <x:c r="A70" s="10" t="str">
        <x:v>R-01</x:v>
      </x:c>
      <x:c r="B70" s="10" t="str">
        <x:v>Fontes e estruturas externas</x:v>
      </x:c>
      <x:c r="C70" s="12" t="str">
        <x:v>Definida</x:v>
      </x:c>
      <x:c r="D70" s="10" t="str">
        <x:v>Definição vigente e trabalho técnico vinculado.</x:v>
      </x:c>
      <x:c r="E70" s="10" t="str">
        <x:v>Aplicar a definição vigente; execução, evidência e aceite são registrados nas tarefas relacionadas.</x:v>
      </x:c>
      <x:c r="F70" s="12" t="str">
        <x:v>Bling/API + Google Drive — pasta compartilhada Majucau, preservando 01_perdas_operacionais, 02_nuvem_pago/recebimentos_futuros e 03_nuvem_envio. Sem pasta de Itaú, Mercado Pago, investimentos ou ajustes.</x:v>
      </x:c>
      <x:c r="G70" s="10" t="str">
        <x:v>Consolidação das respostas do desenvolvimento — enviada pelo usuário em 13/09/2026; §1; Fechamento das questões ainda tratadas como abertas — 13/09/2026</x:v>
      </x:c>
      <x:c r="H70" s="10" t="str">
        <x:v>BK-010, BK-042, BK-052</x:v>
      </x:c>
      <x:c r="I70" s="10" t="str">
        <x:v>Regra/atribuição definida</x:v>
      </x:c>
    </x:row>
    <x:row r="71" ht="95" customHeight="1">
      <x:c r="A71" s="11" t="str">
        <x:v>R-02</x:v>
      </x:c>
      <x:c r="B71" s="11" t="str">
        <x:v>Permissão e rastreio no Drive</x:v>
      </x:c>
      <x:c r="C71" s="12" t="str">
        <x:v>Definida</x:v>
      </x:c>
      <x:c r="D71" s="11" t="str">
        <x:v>Definição vigente e trabalho técnico vinculado.</x:v>
      </x:c>
      <x:c r="E71" s="11" t="str">
        <x:v>Aplicar a definição vigente; execução, evidência e aceite são registrados nas tarefas relacionadas.</x:v>
      </x:c>
      <x:c r="F71" s="12" t="str">
        <x:v>Somente leitura, sem qualquer mutação na origem. Metadados, hashes, lotes, rejeições e vínculos de reprocessamento ficam dentro do Majucau. Correção não sobrescreve fatos silenciosamente.</x:v>
      </x:c>
      <x:c r="G71" s="11" t="str">
        <x:v>Consolidação das respostas do desenvolvimento — enviada pelo usuário em 13/09/2026; §2; Fechamento das questões ainda tratadas como abertas — 13/09/2026</x:v>
      </x:c>
      <x:c r="H71" s="11" t="str">
        <x:v>BK-010, BK-024, BK-038, BK-042, BK-044, BK-118</x:v>
      </x:c>
      <x:c r="I71" s="11" t="str">
        <x:v>Regra/atribuição definida</x:v>
      </x:c>
    </x:row>
    <x:row r="72" ht="95" customHeight="1">
      <x:c r="A72" s="10" t="str">
        <x:v>R-03</x:v>
      </x:c>
      <x:c r="B72" s="10" t="str">
        <x:v>Identificação do depósito</x:v>
      </x:c>
      <x:c r="C72" s="12" t="str">
        <x:v>Definida</x:v>
      </x:c>
      <x:c r="D72" s="10" t="str">
        <x:v>Definição vigente e trabalho técnico vinculado.</x:v>
      </x:c>
      <x:c r="E72" s="10" t="str">
        <x:v>Aplicar a definição vigente; execução, evidência e aceite são registrados nas tarefas relacionadas.</x:v>
      </x:c>
      <x:c r="F72" s="12" t="str">
        <x:v>Identificar no cadastro operacional da API, sem hardcode ou escolha automática de Bloqueado. Sem evidência inequívoca: Dado indisponível no Bling.</x:v>
      </x:c>
      <x:c r="G72" s="10" t="str">
        <x:v>Consolidação das respostas do desenvolvimento — enviada pelo usuário em 13/09/2026; §3; Fechamento das questões ainda tratadas como abertas — 13/09/2026</x:v>
      </x:c>
      <x:c r="H72" s="10" t="str">
        <x:v>BK-040, BK-048, BK-077</x:v>
      </x:c>
      <x:c r="I72" s="10" t="str">
        <x:v>Regra/atribuição definida</x:v>
      </x:c>
    </x:row>
    <x:row r="73" ht="95" customHeight="1">
      <x:c r="A73" s="11" t="str">
        <x:v>R-04</x:v>
      </x:c>
      <x:c r="B73" s="11" t="str">
        <x:v>Fonte de investimentos</x:v>
      </x:c>
      <x:c r="C73" s="12" t="str">
        <x:v>Definida</x:v>
      </x:c>
      <x:c r="D73" s="11" t="str">
        <x:v>Definição vigente e trabalho técnico vinculado.</x:v>
      </x:c>
      <x:c r="E73" s="11" t="str">
        <x:v>Aplicar a definição vigente; execução, evidência e aceite são registrados nas tarefas relacionadas.</x:v>
      </x:c>
      <x:c r="F73" s="12" t="str">
        <x:v>Conta Caixa no Bling; caixa.php é referência funcional. Usar API oficial ou exportação estruturada oficial. Scraping proibido; não haverá extrato externo na pasta compartilhada.</x:v>
      </x:c>
      <x:c r="G73" s="11" t="str">
        <x:v>Consolidação das respostas do desenvolvimento — enviada pelo usuário em 13/09/2026; §4; Fechamento das questões ainda tratadas como abertas — 13/09/2026</x:v>
      </x:c>
      <x:c r="H73" s="11" t="str">
        <x:v>BK-040, BK-041, BK-071, BK-074</x:v>
      </x:c>
      <x:c r="I73" s="11" t="str">
        <x:v>Regra/atribuição definida</x:v>
      </x:c>
    </x:row>
    <x:row r="74" ht="95" customHeight="1">
      <x:c r="A74" s="10" t="str">
        <x:v>R-05</x:v>
      </x:c>
      <x:c r="B74" s="10" t="str">
        <x:v>Categorias de investimentos</x:v>
      </x:c>
      <x:c r="C74" s="12" t="str">
        <x:v>Definida</x:v>
      </x:c>
      <x:c r="D74" s="10" t="str">
        <x:v>Definição vigente e trabalho técnico vinculado.</x:v>
      </x:c>
      <x:c r="E74" s="10" t="str">
        <x:v>Aplicar a definição vigente; execução, evidência e aceite são registrados nas tarefas relacionadas.</x:v>
      </x:c>
      <x:c r="F74" s="12" t="str">
        <x:v>Transferência destinada à aplicação identifica aporte; Rendimentos identifica rendimento realizado. Resgates ainda precisam ser mapeados tecnicamente.</x:v>
      </x:c>
      <x:c r="G74" s="10" t="str">
        <x:v>Consolidação das respostas do desenvolvimento — enviada pelo usuário em 13/09/2026; §5; Fechamento das questões ainda tratadas como abertas — 13/09/2026</x:v>
      </x:c>
      <x:c r="H74" s="10" t="str">
        <x:v>BK-064, BK-071</x:v>
      </x:c>
      <x:c r="I74" s="10" t="str">
        <x:v>Regra/atribuição definida</x:v>
      </x:c>
    </x:row>
    <x:row r="75" ht="95" customHeight="1">
      <x:c r="A75" s="11" t="str">
        <x:v>R-06</x:v>
      </x:c>
      <x:c r="B75" s="11" t="str">
        <x:v>Já Investido</x:v>
      </x:c>
      <x:c r="C75" s="12" t="str">
        <x:v>Definida</x:v>
      </x:c>
      <x:c r="D75" s="11" t="str">
        <x:v>Definição vigente e trabalho técnico vinculado.</x:v>
      </x:c>
      <x:c r="E75" s="11" t="str">
        <x:v>Aplicar a definição vigente; execução, evidência e aceite são registrados nas tarefas relacionadas.</x:v>
      </x:c>
      <x:c r="F75" s="12" t="str">
        <x:v>Aportes de principal − resgates de principal. Rendimentos ficam separados e não são novos aportes. Falta provar os componentes no Bling.</x:v>
      </x:c>
      <x:c r="G75" s="11" t="str">
        <x:v>Consolidação das respostas do desenvolvimento — enviada pelo usuário em 13/09/2026; §6; Fechamento das questões ainda tratadas como abertas — 13/09/2026</x:v>
      </x:c>
      <x:c r="H75" s="11" t="str">
        <x:v>BK-006, BK-071, BK-072</x:v>
      </x:c>
      <x:c r="I75" s="11" t="str">
        <x:v>Regra/atribuição definida</x:v>
      </x:c>
    </x:row>
    <x:row r="76" ht="95" customHeight="1">
      <x:c r="A76" s="10" t="str">
        <x:v>R-07</x:v>
      </x:c>
      <x:c r="B76" s="10" t="str">
        <x:v>Posição comprovada</x:v>
      </x:c>
      <x:c r="C76" s="12" t="str">
        <x:v>Definida</x:v>
      </x:c>
      <x:c r="D76" s="10" t="str">
        <x:v>Definição vigente e trabalho técnico vinculado.</x:v>
      </x:c>
      <x:c r="E76" s="10" t="str">
        <x:v>Aplicar a definição vigente; execução, evidência e aceite são registrados nas tarefas relacionadas.</x:v>
      </x:c>
      <x:c r="F76" s="12" t="str">
        <x:v>Exibir posição e data somente se disponíveis na fonte; caso contrário mostrar apenas componentes comprováveis. Não presumir rendimento reinvestido.</x:v>
      </x:c>
      <x:c r="G76" s="10" t="str">
        <x:v>Consolidação das respostas do desenvolvimento — enviada pelo usuário em 13/09/2026; §7; Fechamento das questões ainda tratadas como abertas — 13/09/2026</x:v>
      </x:c>
      <x:c r="H76" s="10" t="str">
        <x:v>BK-071, BK-073, BK-074</x:v>
      </x:c>
      <x:c r="I76" s="10" t="str">
        <x:v>Regra/atribuição definida</x:v>
      </x:c>
    </x:row>
    <x:row r="77" ht="95" customHeight="1">
      <x:c r="A77" s="11" t="str">
        <x:v>R-08</x:v>
      </x:c>
      <x:c r="B77" s="11" t="str">
        <x:v>Itaú e valor executável</x:v>
      </x:c>
      <x:c r="C77" s="12" t="str">
        <x:v>Definida</x:v>
      </x:c>
      <x:c r="D77" s="11" t="str">
        <x:v>Definição vigente e trabalho técnico vinculado.</x:v>
      </x:c>
      <x:c r="E77" s="11" t="str">
        <x:v>Aplicar a definição vigente; execução, evidência e aceite são registrados nas tarefas relacionadas.</x:v>
      </x:c>
      <x:c r="F77" s="12" t="str">
        <x:v>Itaú é a conta principal e fornece o saldo transferível, via Bling. Valor Executável Hoje = MIN(Máximo Aplicável Financeiramente; Saldo Transferível do Itaú).</x:v>
      </x:c>
      <x:c r="G77" s="11" t="str">
        <x:v>Consolidação das respostas do desenvolvimento — enviada pelo usuário em 13/09/2026; §8; Fechamento das questões ainda tratadas como abertas — 13/09/2026</x:v>
      </x:c>
      <x:c r="H77" s="11" t="str">
        <x:v>BK-006, BK-047, BK-060, BK-072</x:v>
      </x:c>
      <x:c r="I77" s="11" t="str">
        <x:v>Regra/atribuição definida</x:v>
      </x:c>
    </x:row>
    <x:row r="78" ht="95" customHeight="1">
      <x:c r="A78" s="10" t="str">
        <x:v>R-09</x:v>
      </x:c>
      <x:c r="B78" s="10" t="str">
        <x:v>Mercado Pago</x:v>
      </x:c>
      <x:c r="C78" s="12" t="str">
        <x:v>Definida</x:v>
      </x:c>
      <x:c r="D78" s="10" t="str">
        <x:v>Definição vigente e trabalho técnico vinculado.</x:v>
      </x:c>
      <x:c r="E78" s="10" t="str">
        <x:v>Aplicar a definição vigente; execução, evidência e aceite são registrados nas tarefas relacionadas.</x:v>
      </x:c>
      <x:c r="F78" s="12" t="str">
        <x:v>Movimentos via Bling; pode compor caixa consolidado, mas não aumenta automaticamente o executável para aplicações que saem do Itaú.</x:v>
      </x:c>
      <x:c r="G78" s="10" t="str">
        <x:v>Consolidação das respostas do desenvolvimento — enviada pelo usuário em 13/09/2026; §9; Fechamento das questões ainda tratadas como abertas — 13/09/2026</x:v>
      </x:c>
      <x:c r="H78" s="10" t="str">
        <x:v>BK-047, BK-060, BK-072</x:v>
      </x:c>
      <x:c r="I78" s="10" t="str">
        <x:v>Regra/atribuição definida</x:v>
      </x:c>
    </x:row>
    <x:row r="79" ht="95" customHeight="1">
      <x:c r="A79" s="11" t="str">
        <x:v>R-10</x:v>
      </x:c>
      <x:c r="B79" s="11" t="str">
        <x:v>Nuvem Pago e liquidação</x:v>
      </x:c>
      <x:c r="C79" s="12" t="str">
        <x:v>Definida</x:v>
      </x:c>
      <x:c r="D79" s="11" t="str">
        <x:v>Definição vigente e trabalho técnico vinculado.</x:v>
      </x:c>
      <x:c r="E79" s="11" t="str">
        <x:v>Aplicar a definição vigente; execução, evidência e aceite são registrados nas tarefas relacionadas.</x:v>
      </x:c>
      <x:c r="F79" s="12" t="str">
        <x:v>Fonte Nuvem permanece em 02_nuvem_pago/recebimentos_futuros. A rotina anterior D+1 foi explicitamente substituída por D-1 para análise/conciliação de movimentos; agenda futura continua projetada.</x:v>
      </x:c>
      <x:c r="G79" s="11" t="str">
        <x:v>Consolidação das respostas do desenvolvimento — enviada pelo usuário em 13/09/2026; §10; Fechamento das questões ainda tratadas como abertas — 13/09/2026</x:v>
      </x:c>
      <x:c r="H79" s="11" t="str">
        <x:v>BK-010, BK-046, BK-051, BK-053</x:v>
      </x:c>
      <x:c r="I79" s="11" t="str">
        <x:v>Regra/atribuição definida</x:v>
      </x:c>
    </x:row>
    <x:row r="80" ht="95" customHeight="1">
      <x:c r="A80" s="10" t="str">
        <x:v>R-11</x:v>
      </x:c>
      <x:c r="B80" s="10" t="str">
        <x:v>Perdas operacionais</x:v>
      </x:c>
      <x:c r="C80" s="12" t="str">
        <x:v>Definida</x:v>
      </x:c>
      <x:c r="D80" s="10" t="str">
        <x:v>Definição vigente e trabalho técnico vinculado.</x:v>
      </x:c>
      <x:c r="E80" s="10" t="str">
        <x:v>Aplicar a definição vigente; execução, evidência e aceite são registrados nas tarefas relacionadas.</x:v>
      </x:c>
      <x:c r="F80" s="12" t="str">
        <x:v>Fonte 01_perdas_operacionais representa eventos de perda, nunca percentual industrial, scrap, yield ou fator automático de matéria-prima.</x:v>
      </x:c>
      <x:c r="G80" s="10" t="str">
        <x:v>Consolidação das respostas do desenvolvimento — enviada pelo usuário em 13/09/2026; §11; Fechamento das questões ainda tratadas como abertas — 13/09/2026</x:v>
      </x:c>
      <x:c r="H80" s="10" t="str">
        <x:v>BK-050, BK-065, BK-094</x:v>
      </x:c>
      <x:c r="I80" s="10" t="str">
        <x:v>Regra/atribuição definida</x:v>
      </x:c>
    </x:row>
    <x:row r="81" ht="95" customHeight="1">
      <x:c r="A81" s="11" t="str">
        <x:v>R-12</x:v>
      </x:c>
      <x:c r="B81" s="11" t="str">
        <x:v>Nuvem Envio</x:v>
      </x:c>
      <x:c r="C81" s="12" t="str">
        <x:v>Definida</x:v>
      </x:c>
      <x:c r="D81" s="11" t="str">
        <x:v>Definição vigente e trabalho técnico vinculado.</x:v>
      </x:c>
      <x:c r="E81" s="11" t="str">
        <x:v>Aplicar a definição vigente; execução, evidência e aceite são registrados nas tarefas relacionadas.</x:v>
      </x:c>
      <x:c r="F81" s="12" t="str">
        <x:v>Fonte 03_nuvem_envio; preservar custo efetivo, frete cobrado, diferença/subsídio, pedido, transportadora, etiqueta e data quando disponíveis, sem compensação silenciosa.</x:v>
      </x:c>
      <x:c r="G81" s="11" t="str">
        <x:v>Consolidação das respostas do desenvolvimento — enviada pelo usuário em 13/09/2026; §12; Fechamento das questões ainda tratadas como abertas — 13/09/2026</x:v>
      </x:c>
      <x:c r="H81" s="11" t="str">
        <x:v>BK-049, BK-064, BK-076</x:v>
      </x:c>
      <x:c r="I81" s="11" t="str">
        <x:v>Regra/atribuição definida</x:v>
      </x:c>
    </x:row>
    <x:row r="82" ht="95" customHeight="1">
      <x:c r="A82" s="10" t="str">
        <x:v>R-13</x:v>
      </x:c>
      <x:c r="B82" s="10" t="str">
        <x:v>Base do forecast</x:v>
      </x:c>
      <x:c r="C82" s="12" t="str">
        <x:v>Definida</x:v>
      </x:c>
      <x:c r="D82" s="10" t="str">
        <x:v>Definição vigente e trabalho técnico vinculado.</x:v>
      </x:c>
      <x:c r="E82" s="10" t="str">
        <x:v>Aplicar a definição vigente; execução, evidência e aceite são registrados nas tarefas relacionadas.</x:v>
      </x:c>
      <x:c r="F82" s="12" t="str">
        <x:v>Executar backtest com histórico confiável de 2025 em diante. Não presumir cobertura de 24 meses nem métricas calculadas.</x:v>
      </x:c>
      <x:c r="G82" s="10" t="str">
        <x:v>Consolidação das respostas do desenvolvimento — enviada pelo usuário em 13/09/2026; pendência 9; Fechamento das questões ainda tratadas como abertas — 13/09/2026</x:v>
      </x:c>
      <x:c r="H82" s="10" t="str">
        <x:v>BK-009, BK-087, BK-090</x:v>
      </x:c>
      <x:c r="I82" s="10" t="str">
        <x:v>Regra/atribuição definida</x:v>
      </x:c>
    </x:row>
    <x:row r="83" ht="95" customHeight="1">
      <x:c r="A83" s="11" t="str">
        <x:v>R-14</x:v>
      </x:c>
      <x:c r="B83" s="11" t="str">
        <x:v>Refinamento do cacau</x:v>
      </x:c>
      <x:c r="C83" s="12" t="str">
        <x:v>Definida</x:v>
      </x:c>
      <x:c r="D83" s="11" t="str">
        <x:v>Definição vigente e trabalho técnico vinculado.</x:v>
      </x:c>
      <x:c r="E83" s="11" t="str">
        <x:v>Aplicar a definição vigente; execução, evidência e aceite são registrados nas tarefas relacionadas.</x:v>
      </x:c>
      <x:c r="F83" s="12" t="str">
        <x:v>Cacau é inteligência adicional com fontes técnicas a refinar; não bloqueia o motor principal de compras e não cria novas estruturas Drive.</x:v>
      </x:c>
      <x:c r="G83" s="11" t="str">
        <x:v>Consolidação das respostas do desenvolvimento — enviada pelo usuário em 13/09/2026; pendência 10; Fechamento das questões ainda tratadas como abertas — 13/09/2026</x:v>
      </x:c>
      <x:c r="H83" s="11" t="str">
        <x:v>BK-011, BK-085</x:v>
      </x:c>
      <x:c r="I83" s="11" t="str">
        <x:v>Regra/atribuição definida</x:v>
      </x:c>
    </x:row>
    <x:row r="84" ht="95" customHeight="1">
      <x:c r="A84" s="10" t="str">
        <x:v>HT-01</x:v>
      </x:c>
      <x:c r="B84" s="10" t="str">
        <x:v>Resgates de principal</x:v>
      </x:c>
      <x:c r="C84" s="12" t="str">
        <x:v>Execução técnica pendente</x:v>
      </x:c>
      <x:c r="D84" s="10" t="str">
        <x:v>Mapear categoria, sinal, conta e aplicação, incluindo resgate parcial/total no Bling. Conceito aportes menos resgates está definido.</x:v>
      </x:c>
      <x:c r="E84" s="10" t="str">
        <x:v>Evidência técnica deve mostrar origem, resultado, limitações e casos de aceite; ausência não pode virar zero.</x:v>
      </x:c>
      <x:c r="F84" s="12" t="str">
        <x:v>Regra funcional definida. Mapeamento, implementação e validação ainda não executados nesta atualização do backlog.</x:v>
      </x:c>
      <x:c r="G84" s="10" t="str">
        <x:v>Consolidação das respostas do desenvolvimento — enviada pelo usuário em 13/09/2026; pendência 1; Fechamento das questões ainda tratadas como abertas — 13/09/2026</x:v>
      </x:c>
      <x:c r="H84" s="10" t="str">
        <x:v>BK-040, BK-071, BK-072</x:v>
      </x:c>
      <x:c r="I84" s="10" t="str">
        <x:v>Homologação técnica</x:v>
      </x:c>
    </x:row>
    <x:row r="85" ht="95" customHeight="1">
      <x:c r="A85" s="11" t="str">
        <x:v>HT-02</x:v>
      </x:c>
      <x:c r="B85" s="11" t="str">
        <x:v>Posição comprovada de aplicações</x:v>
      </x:c>
      <x:c r="C85" s="12" t="str">
        <x:v>Execução técnica pendente</x:v>
      </x:c>
      <x:c r="D85" s="11" t="str">
        <x:v>Obter posição, data, instituição e aplicação quando acessíveis; exibir componentes conhecidos sem presumir reinvestimento.</x:v>
      </x:c>
      <x:c r="E85" s="11" t="str">
        <x:v>Evidência técnica deve mostrar origem, resultado, limitações e casos de aceite; ausência não pode virar zero.</x:v>
      </x:c>
      <x:c r="F85" s="12" t="str">
        <x:v>Regra funcional definida. Mapeamento, implementação e validação ainda não executados nesta atualização do backlog.</x:v>
      </x:c>
      <x:c r="G85" s="11" t="str">
        <x:v>Consolidação das respostas do desenvolvimento — enviada pelo usuário em 13/09/2026; pendência 2; Fechamento das questões ainda tratadas como abertas — 13/09/2026</x:v>
      </x:c>
      <x:c r="H85" s="11" t="str">
        <x:v>BK-040, BK-071, BK-074</x:v>
      </x:c>
      <x:c r="I85" s="11" t="str">
        <x:v>Homologação técnica</x:v>
      </x:c>
    </x:row>
    <x:row r="86" ht="95" customHeight="1">
      <x:c r="A86" s="10" t="str">
        <x:v>HT-03</x:v>
      </x:c>
      <x:c r="B86" s="10" t="str">
        <x:v>Campos reais de estoque/depósito</x:v>
      </x:c>
      <x:c r="C86" s="12" t="str">
        <x:v>Execução técnica pendente</x:v>
      </x:c>
      <x:c r="D86" s="10" t="str">
        <x:v>Homologar identificação operacional inequívoca, saldos obrigatórios e estados opcionais. Não hardcodar depósito.</x:v>
      </x:c>
      <x:c r="E86" s="10" t="str">
        <x:v>Evidência técnica deve mostrar origem, resultado, limitações e casos de aceite; ausência não pode virar zero.</x:v>
      </x:c>
      <x:c r="F86" s="12" t="str">
        <x:v>Regra funcional definida. Mapeamento, implementação e validação ainda não executados nesta atualização do backlog.</x:v>
      </x:c>
      <x:c r="G86" s="10" t="str">
        <x:v>Consolidação das respostas do desenvolvimento — enviada pelo usuário em 13/09/2026; pendência 3; Fechamento das questões ainda tratadas como abertas — 13/09/2026</x:v>
      </x:c>
      <x:c r="H86" s="10" t="str">
        <x:v>BK-040, BK-048, BK-077</x:v>
      </x:c>
      <x:c r="I86" s="10" t="str">
        <x:v>Homologação técnica</x:v>
      </x:c>
    </x:row>
    <x:row r="87" ht="95" customHeight="1">
      <x:c r="A87" s="11" t="str">
        <x:v>HT-04</x:v>
      </x:c>
      <x:c r="B87" s="11" t="str">
        <x:v>Extração e conferência do balancete Bling</x:v>
      </x:c>
      <x:c r="C87" s="12" t="str">
        <x:v>Execução técnica pendente</x:v>
      </x:c>
      <x:c r="D87" s="11" t="str">
        <x:v>Mapear recursos existentes e reproduzir contas/saldos/competência; comparar totais contra Bling, sem nova estrutura contábil.</x:v>
      </x:c>
      <x:c r="E87" s="11" t="str">
        <x:v>Evidência técnica deve mostrar origem, resultado, limitações e casos de aceite; ausência não pode virar zero.</x:v>
      </x:c>
      <x:c r="F87" s="12" t="str">
        <x:v>Regra funcional definida. Mapeamento, implementação e validação ainda não executados nesta atualização do backlog.</x:v>
      </x:c>
      <x:c r="G87" s="11" t="str">
        <x:v>Consolidação das respostas do desenvolvimento — enviada pelo usuário em 13/09/2026; pendência 4; Fechamento das questões ainda tratadas como abertas — 13/09/2026</x:v>
      </x:c>
      <x:c r="H87" s="11" t="str">
        <x:v>BK-007, BK-040, BK-068</x:v>
      </x:c>
      <x:c r="I87" s="11" t="str">
        <x:v>Homologação técnica</x:v>
      </x:c>
    </x:row>
    <x:row r="88" ht="95" customHeight="1">
      <x:c r="A88" s="10" t="str">
        <x:v>HT-05</x:v>
      </x:c>
      <x:c r="B88" s="10" t="str">
        <x:v>Custo histórico para análise por SKU</x:v>
      </x:c>
      <x:c r="C88" s="12" t="str">
        <x:v>Execução técnica pendente</x:v>
      </x:c>
      <x:c r="D88" s="10" t="str">
        <x:v>Demonstrar custo histórico versus atual na origem, sem reconstruir a DRE por método paralelo.</x:v>
      </x:c>
      <x:c r="E88" s="10" t="str">
        <x:v>Evidência técnica deve mostrar origem, resultado, limitações e casos de aceite; ausência não pode virar zero.</x:v>
      </x:c>
      <x:c r="F88" s="12" t="str">
        <x:v>Regra funcional definida. Mapeamento, implementação e validação ainda não executados nesta atualização do backlog.</x:v>
      </x:c>
      <x:c r="G88" s="10" t="str">
        <x:v>Consolidação das respostas do desenvolvimento — enviada pelo usuário em 13/09/2026; pendência 5; Fechamento das questões ainda tratadas como abertas — 13/09/2026</x:v>
      </x:c>
      <x:c r="H88" s="10" t="str">
        <x:v>BK-040, BK-063</x:v>
      </x:c>
      <x:c r="I88" s="10" t="str">
        <x:v>Homologação técnica</x:v>
      </x:c>
    </x:row>
    <x:row r="89" ht="95" customHeight="1">
      <x:c r="A89" s="11" t="str">
        <x:v>HT-06</x:v>
      </x:c>
      <x:c r="B89" s="11" t="str">
        <x:v>DRE própria: extração e comparação</x:v>
      </x:c>
      <x:c r="C89" s="12" t="str">
        <x:v>Execução técnica pendente</x:v>
      </x:c>
      <x:c r="D89" s="11" t="str">
        <x:v>Mapear lançamentos e campos de origem necessários às linhas já aprovadas da DRE, preservar competência e rastreabilidade, e comparar o resultado do Majucau com o relatório do Bling.</x:v>
      </x:c>
      <x:c r="E89" s="11" t="str">
        <x:v>Evidência técnica deve mostrar origem, resultado, limitações e casos de aceite; ausência não pode virar zero.</x:v>
      </x:c>
      <x:c r="F89" s="12" t="str">
        <x:v>Regra funcional definida. Mapeamento, implementação e validação ainda não executados nesta atualização do backlog.</x:v>
      </x:c>
      <x:c r="G89" s="11" t="str">
        <x:v>Consolidação das respostas do desenvolvimento — enviada pelo usuário em 13/09/2026; pendência 6; Fechamento das questões ainda tratadas como abertas — 13/09/2026</x:v>
      </x:c>
      <x:c r="H89" s="11" t="str">
        <x:v>BK-007, BK-040, BK-064, BK-066</x:v>
      </x:c>
      <x:c r="I89" s="11" t="str">
        <x:v>Homologação técnica</x:v>
      </x:c>
    </x:row>
    <x:row r="90" ht="95" customHeight="1">
      <x:c r="A90" s="10" t="str">
        <x:v>HT-07</x:v>
      </x:c>
      <x:c r="B90" s="10" t="str">
        <x:v>BOM e demanda temporal de insumos</x:v>
      </x:c>
      <x:c r="C90" s="12" t="str">
        <x:v>Execução técnica pendente</x:v>
      </x:c>
      <x:c r="D90" s="10" t="str">
        <x:v>Homologar componentes, quantidades e unidades; converter produção necessária em consumo por data sem fatores de perdas operacionais.</x:v>
      </x:c>
      <x:c r="E90" s="10" t="str">
        <x:v>Evidência técnica deve mostrar origem, resultado, limitações e casos de aceite; ausência não pode virar zero.</x:v>
      </x:c>
      <x:c r="F90" s="12" t="str">
        <x:v>Regra funcional definida. Mapeamento, implementação e validação ainda não executados nesta atualização do backlog.</x:v>
      </x:c>
      <x:c r="G90" s="10" t="str">
        <x:v>Consolidação das respostas do desenvolvimento — enviada pelo usuário em 13/09/2026; pendência 7; Fechamento das questões ainda tratadas como abertas — 13/09/2026</x:v>
      </x:c>
      <x:c r="H90" s="10" t="str">
        <x:v>BK-040, BK-048, BK-094</x:v>
      </x:c>
      <x:c r="I90" s="10" t="str">
        <x:v>Homologação técnica</x:v>
      </x:c>
    </x:row>
    <x:row r="91" ht="95" customHeight="1">
      <x:c r="A91" s="11" t="str">
        <x:v>HT-08</x:v>
      </x:c>
      <x:c r="B91" s="11" t="str">
        <x:v>Chaves reais e corte D-1</x:v>
      </x:c>
      <x:c r="C91" s="12" t="str">
        <x:v>Execução técnica pendente</x:v>
      </x:c>
      <x:c r="D91" s="11" t="str">
        <x:v>Implementar ID Bling/fallback nome+valor sem ambiguidade, D-1 normal e exceção corrente expressa; preservar agenda futura e impedir dupla contagem.</x:v>
      </x:c>
      <x:c r="E91" s="11" t="str">
        <x:v>Evidência técnica deve mostrar origem, resultado, limitações e casos de aceite; ausência não pode virar zero.</x:v>
      </x:c>
      <x:c r="F91" s="12" t="str">
        <x:v>Regra funcional definida. Mapeamento, implementação e validação ainda não executados nesta atualização do backlog.</x:v>
      </x:c>
      <x:c r="G91" s="11" t="str">
        <x:v>Consolidação das respostas do desenvolvimento — enviada pelo usuário em 13/09/2026; pendência 8; Fechamento das questões ainda tratadas como abertas — 13/09/2026</x:v>
      </x:c>
      <x:c r="H91" s="11" t="str">
        <x:v>BK-010, BK-040, BK-046, BK-053</x:v>
      </x:c>
      <x:c r="I91" s="11" t="str">
        <x:v>Homologação técnica</x:v>
      </x:c>
    </x:row>
    <x:row r="92" ht="95" customHeight="1">
      <x:c r="A92" s="10" t="str">
        <x:v>HT-09</x:v>
      </x:c>
      <x:c r="B92" s="10" t="str">
        <x:v>Validação temporal do forecast</x:v>
      </x:c>
      <x:c r="C92" s="12" t="str">
        <x:v>Execução técnica pendente</x:v>
      </x:c>
      <x:c r="D92" s="10" t="str">
        <x:v>Executar backtest com histórico confiável de 2025 em diante, cobertura real, métricas e limitações comprovadas.</x:v>
      </x:c>
      <x:c r="E92" s="10" t="str">
        <x:v>Evidência técnica deve mostrar origem, resultado, limitações e casos de aceite; ausência não pode virar zero.</x:v>
      </x:c>
      <x:c r="F92" s="12" t="str">
        <x:v>Regra funcional definida. Mapeamento, implementação e validação ainda não executados nesta atualização do backlog.</x:v>
      </x:c>
      <x:c r="G92" s="10" t="str">
        <x:v>Consolidação das respostas do desenvolvimento — enviada pelo usuário em 13/09/2026; pendência 9; Fechamento das questões ainda tratadas como abertas — 13/09/2026</x:v>
      </x:c>
      <x:c r="H92" s="10" t="str">
        <x:v>BK-009, BK-087, BK-090</x:v>
      </x:c>
      <x:c r="I92" s="10" t="str">
        <x:v>Homologação técnica</x:v>
      </x:c>
    </x:row>
    <x:row r="93" ht="95" customHeight="1">
      <x:c r="A93" s="11" t="str">
        <x:v>HT-10</x:v>
      </x:c>
      <x:c r="B93" s="11" t="str">
        <x:v>Sinais adicionais do cacau</x:v>
      </x:c>
      <x:c r="C93" s="12" t="str">
        <x:v>Execução técnica pendente</x:v>
      </x:c>
      <x:c r="D93" s="11" t="str">
        <x:v>Refinar fontes, localidades reais e comparações, sem bloquear recomendação operacional. Verificar somente fontes habilitadas.</x:v>
      </x:c>
      <x:c r="E93" s="11" t="str">
        <x:v>Evidência técnica deve mostrar origem, resultado, limitações e casos de aceite; ausência não pode virar zero.</x:v>
      </x:c>
      <x:c r="F93" s="12" t="str">
        <x:v>Regra funcional definida. Mapeamento, implementação e validação ainda não executados nesta atualização do backlog.</x:v>
      </x:c>
      <x:c r="G93" s="11" t="str">
        <x:v>Consolidação das respostas do desenvolvimento — enviada pelo usuário em 13/09/2026; pendência 10; Fechamento das questões ainda tratadas como abertas — 13/09/2026</x:v>
      </x:c>
      <x:c r="H93" s="11" t="str">
        <x:v>BK-011, BK-085</x:v>
      </x:c>
      <x:c r="I93" s="11" t="str">
        <x:v>Homologação técnica</x:v>
      </x:c>
    </x:row>
    <x:row r="94" ht="95" customHeight="1">
      <x:c r="A94" s="10" t="str">
        <x:v>F-01</x:v>
      </x:c>
      <x:c r="B94" s="10" t="str">
        <x:v>Calculadora: contrato fechado</x:v>
      </x:c>
      <x:c r="C94" s="12" t="str">
        <x:v>Definida</x:v>
      </x:c>
      <x:c r="D94" s="10" t="str">
        <x:v>Definição recebida no fechamento vigente.</x:v>
      </x:c>
      <x:c r="E94" s="10" t="str">
        <x:v>Aplicar nas tarefas vinculadas e verificar com evidência na implementação futura.</x:v>
      </x:c>
      <x:c r="F94" s="12" t="str">
        <x:v>A regra vigente D-003-A usa lucro líquido da DRE própria de janeiro até M−2 menos Já Investido (aportes de principal − resgates de principal; rendimentos separados). O limite de caixa usa o menor saldo diário de fechamento do fluxo consolidado em D0–D+60, sem somar recebimentos da Nuvemshop separadamente. Limite financeiro = MAX(0; menor saldo diário − reserva mínima de R$ 50.000); Máximo Aplicável = MAX(0; MIN(lucro disponível; limite financeiro)). Valor executável limitado ao saldo transferível do Itaú; consulta somente. A sugestão D-003-C é apenas informativa: R$ 50.000 + MAX(0; caixa projetado D0 − menor saldo diário D0–D+60). Estrutura da calculadora preservada; fórmulas antigas da planilha não substituem D-003-A. Fontes reais e integração seguem pendentes; dado ausente permanece indisponível.</x:v>
      </x:c>
      <x:c r="G94" s="10" t="str">
        <x:v>Fechamento das questões ainda tratadas como abertas — 13/09/2026; §1; planilha Calculadora_Aplicacao_Lucro_Liquido_Profissional (1).xlsm enviada em 10/10/2026; esclarecimento posterior da usuária sobre reserva alternativa</x:v>
      </x:c>
      <x:c r="H94" s="10" t="str">
        <x:v>BK-006, BK-019, BK-061, BK-072</x:v>
      </x:c>
      <x:c r="I94" s="10" t="str">
        <x:v>Regra/atribuição definida</x:v>
      </x:c>
    </x:row>
    <x:row r="95" ht="95" customHeight="1">
      <x:c r="A95" s="11" t="str">
        <x:v>F-02</x:v>
      </x:c>
      <x:c r="B95" s="11" t="str">
        <x:v>DRE própria do Majucau; Bling para comparação</x:v>
      </x:c>
      <x:c r="C95" s="12" t="str">
        <x:v>Definida</x:v>
      </x:c>
      <x:c r="D95" s="11" t="str">
        <x:v>Regra definida; critérios específicos da empresa dependem de validação contábil.</x:v>
      </x:c>
      <x:c r="E95" s="11" t="str">
        <x:v>Aplicar o cálculo próprio e comparar com o Bling sem alterar a tela ou as regras aprovadas.</x:v>
      </x:c>
      <x:c r="F95" s="12" t="str">
        <x:v>O motor Majucau calcula sua DRE conforme as regras contábeis aprovadas; o relatório pronto do Bling é usado para comparação, não como resultado final. Preservar rastreabilidade de conta, documento e competência. O mapeamento e os critérios específicos da empresa aguardam validação contábil; ausência de regra ou dado não vira valor estimado.</x:v>
      </x:c>
      <x:c r="G95" s="11" t="str">
        <x:v>Decisão G0 de 04/10/2026; docs/DRE-ACCOUNTING-POLICY-v1.md; substitui a orientação de 13/09/2026</x:v>
      </x:c>
      <x:c r="H95" s="11" t="str">
        <x:v>BK-006, BK-007, BK-040, BK-064, BK-066, BK-067</x:v>
      </x:c>
      <x:c r="I95" s="11" t="str">
        <x:v>Regra/atribuição definida</x:v>
      </x:c>
    </x:row>
    <x:row r="96" ht="95" customHeight="1">
      <x:c r="A96" s="10" t="str">
        <x:v>F-03</x:v>
      </x:c>
      <x:c r="B96" s="10" t="str">
        <x:v>Balancete: reproduzir a origem</x:v>
      </x:c>
      <x:c r="C96" s="12" t="str">
        <x:v>Definida</x:v>
      </x:c>
      <x:c r="D96" s="10" t="str">
        <x:v>Definição recebida no fechamento vigente.</x:v>
      </x:c>
      <x:c r="E96" s="10" t="str">
        <x:v>Aplicar nas tarefas vinculadas e verificar com evidência na implementação futura.</x:v>
      </x:c>
      <x:c r="F96" s="12" t="str">
        <x:v>O usuário informa base suficiente no Bling. Mapear recursos reais, reproduzir contas/saldos/competência e comparar totais; elemento específico não acessível = Dado indisponível no Bling.</x:v>
      </x:c>
      <x:c r="G96" s="10" t="str">
        <x:v>Fechamento das questões ainda tratadas como abertas — 13/09/2026; §2</x:v>
      </x:c>
      <x:c r="H96" s="10" t="str">
        <x:v>BK-007, BK-040, BK-068, BK-069</x:v>
      </x:c>
      <x:c r="I96" s="10" t="str">
        <x:v>Regra/atribuição definida</x:v>
      </x:c>
    </x:row>
    <x:row r="97" ht="95" customHeight="1">
      <x:c r="A97" s="11" t="str">
        <x:v>F-04</x:v>
      </x:c>
      <x:c r="B97" s="11" t="str">
        <x:v>Compra líquida e cobertura parcial</x:v>
      </x:c>
      <x:c r="C97" s="12" t="str">
        <x:v>Definida</x:v>
      </x:c>
      <x:c r="D97" s="11" t="str">
        <x:v>Definição recebida no fechamento vigente.</x:v>
      </x:c>
      <x:c r="E97" s="11" t="str">
        <x:v>Aplicar nas tarefas vinculadas e verificar com evidência na implementação futura.</x:v>
      </x:c>
      <x:c r="F97" s="12" t="str">
        <x:v>Necessidade bruta − estoque utilizável − cobertura pendente que chega em tempo. Exemplo: 100−20−30=50 kg. Pedido parcial não exclui insumo; pedido tardio não cobre necessidade anterior à chegada.</x:v>
      </x:c>
      <x:c r="G97" s="11" t="str">
        <x:v>Fechamento das questões ainda tratadas como abertas — 13/09/2026; §3.1</x:v>
      </x:c>
      <x:c r="H97" s="11" t="str">
        <x:v>BK-008, BK-082, BK-084, BK-094</x:v>
      </x:c>
      <x:c r="I97" s="11" t="str">
        <x:v>Regra/atribuição definida</x:v>
      </x:c>
    </x:row>
    <x:row r="98" ht="95" customHeight="1">
      <x:c r="A98" s="10" t="str">
        <x:v>F-05</x:v>
      </x:c>
      <x:c r="B98" s="10" t="str">
        <x:v>Prioridade de compra</x:v>
      </x:c>
      <x:c r="C98" s="12" t="str">
        <x:v>Definida</x:v>
      </x:c>
      <x:c r="D98" s="10" t="str">
        <x:v>Definição recebida no fechamento vigente.</x:v>
      </x:c>
      <x:c r="E98" s="10" t="str">
        <x:v>Aplicar nas tarefas vinculadas e verificar com evidência na implementação futura.</x:v>
      </x:c>
      <x:c r="F98" s="12" t="str">
        <x:v>Priorizar risco imediato de ruptura e impacto na produção usando cobertura, demanda, lead time, pedidos e datas reais. Distinguir temporalidade e cobertura; não inventar prioridade aleatória.</x:v>
      </x:c>
      <x:c r="G98" s="10" t="str">
        <x:v>Fechamento das questões ainda tratadas como abertas — 13/09/2026; §3.2</x:v>
      </x:c>
      <x:c r="H98" s="10" t="str">
        <x:v>BK-008, BK-083, BK-084, BK-086</x:v>
      </x:c>
      <x:c r="I98" s="10" t="str">
        <x:v>Regra/atribuição definida</x:v>
      </x:c>
    </x:row>
    <x:row r="99" ht="95" customHeight="1">
      <x:c r="A99" s="11" t="str">
        <x:v>F-06</x:v>
      </x:c>
      <x:c r="B99" s="11" t="str">
        <x:v>Custos e tarifas separados</x:v>
      </x:c>
      <x:c r="C99" s="12" t="str">
        <x:v>Definida</x:v>
      </x:c>
      <x:c r="D99" s="11" t="str">
        <x:v>Definição recebida no fechamento vigente.</x:v>
      </x:c>
      <x:c r="E99" s="11" t="str">
        <x:v>Aplicar nas tarefas vinculadas e verificar com evidência na implementação futura.</x:v>
      </x:c>
      <x:c r="F99" s="12" t="str">
        <x:v>Bruto, variável, fixo, critério de rateio e custo apropriado separados. Usar apropriação Bling existente; não multiplicar tarifa integral por produto nem inventar rateio. Não misturar custo com quantidade a comprar.</x:v>
      </x:c>
      <x:c r="G99" s="11" t="str">
        <x:v>Fechamento das questões ainda tratadas como abertas — 13/09/2026; §3.3</x:v>
      </x:c>
      <x:c r="H99" s="11" t="str">
        <x:v>BK-075, BK-084</x:v>
      </x:c>
      <x:c r="I99" s="11" t="str">
        <x:v>Regra/atribuição definida</x:v>
      </x:c>
    </x:row>
    <x:row r="100" ht="95" customHeight="1">
      <x:c r="A100" s="10" t="str">
        <x:v>F-07</x:v>
      </x:c>
      <x:c r="B100" s="10" t="str">
        <x:v>Cacau independente do motor principal</x:v>
      </x:c>
      <x:c r="C100" s="12" t="str">
        <x:v>Definida</x:v>
      </x:c>
      <x:c r="D100" s="10" t="str">
        <x:v>Definição recebida no fechamento vigente.</x:v>
      </x:c>
      <x:c r="E100" s="10" t="str">
        <x:v>Aplicar nas tarefas vinculadas e verificar com evidência na implementação futura.</x:v>
      </x:c>
      <x:c r="F100" s="12" t="str">
        <x:v>Inteligência adicional usa localidades reais dos pequenos produtores e sinais comparáveis. Refinar fontes de preço/clima sem impedir compras operacionais; ausência de sinal não cria região ou preço.</x:v>
      </x:c>
      <x:c r="G100" s="10" t="str">
        <x:v>Fechamento das questões ainda tratadas como abertas — 13/09/2026; §3.4</x:v>
      </x:c>
      <x:c r="H100" s="10" t="str">
        <x:v>BK-011, BK-085, BK-086</x:v>
      </x:c>
      <x:c r="I100" s="10" t="str">
        <x:v>Regra/atribuição definida</x:v>
      </x:c>
    </x:row>
    <x:row r="101" ht="95" customHeight="1">
      <x:c r="A101" s="11" t="str">
        <x:v>F-08</x:v>
      </x:c>
      <x:c r="B101" s="11" t="str">
        <x:v>Produção e métrica única</x:v>
      </x:c>
      <x:c r="C101" s="12" t="str">
        <x:v>Definida</x:v>
      </x:c>
      <x:c r="D101" s="11" t="str">
        <x:v>Definição recebida no fechamento vigente.</x:v>
      </x:c>
      <x:c r="E101" s="11" t="str">
        <x:v>Aplicar nas tarefas vinculadas e verificar com evidência na implementação futura.</x:v>
      </x:c>
      <x:c r="F101" s="12" t="str">
        <x:v>Realizado vem do Bling. T01 Produzido Geral e T10 detalhe usam mesma função, fonte, snapshot e universo; mesma métrica em qualquer componente tem mesmo resultado.</x:v>
      </x:c>
      <x:c r="G101" s="11" t="str">
        <x:v>Fechamento das questões ainda tratadas como abertas — 13/09/2026; §4.1–4.3</x:v>
      </x:c>
      <x:c r="H101" s="11" t="str">
        <x:v>BK-020, BK-080, BK-081, BK-102</x:v>
      </x:c>
      <x:c r="I101" s="11" t="str">
        <x:v>Regra/atribuição definida</x:v>
      </x:c>
    </x:row>
    <x:row r="102" ht="95" customHeight="1">
      <x:c r="A102" s="10" t="str">
        <x:v>F-09</x:v>
      </x:c>
      <x:c r="B102" s="10" t="str">
        <x:v>Status temporal de produção</x:v>
      </x:c>
      <x:c r="C102" s="12" t="str">
        <x:v>Definida</x:v>
      </x:c>
      <x:c r="D102" s="10" t="str">
        <x:v>Definição recebida no fechamento vigente.</x:v>
      </x:c>
      <x:c r="E102" s="10" t="str">
        <x:v>Aplicar nas tarefas vinculadas e verificar com evidência na implementação futura.</x:v>
      </x:c>
      <x:c r="F102" s="12" t="str">
        <x:v>Realizado &gt;= meta = atingida. Em andamento/abaixo dependem do plano no ponto temporal; sem granularidade, não inventar atraso, tolerância ou andamento linear.</x:v>
      </x:c>
      <x:c r="G102" s="10" t="str">
        <x:v>Fechamento das questões ainda tratadas como abertas — 13/09/2026; §4.4</x:v>
      </x:c>
      <x:c r="H102" s="10" t="str">
        <x:v>BK-008, BK-080, BK-081</x:v>
      </x:c>
      <x:c r="I102" s="10" t="str">
        <x:v>Regra/atribuição definida</x:v>
      </x:c>
    </x:row>
    <x:row r="103" ht="95" customHeight="1">
      <x:c r="A103" s="11" t="str">
        <x:v>F-10</x:v>
      </x:c>
      <x:c r="B103" s="11" t="str">
        <x:v>Produção considera estoque</x:v>
      </x:c>
      <x:c r="C103" s="12" t="str">
        <x:v>Definida</x:v>
      </x:c>
      <x:c r="D103" s="11" t="str">
        <x:v>Definição recebida no fechamento vigente.</x:v>
      </x:c>
      <x:c r="E103" s="11" t="str">
        <x:v>Aplicar nas tarefas vinculadas e verificar com evidência na implementação futura.</x:v>
      </x:c>
      <x:c r="F103" s="12" t="str">
        <x:v>Forecast por SKU → demanda → estoque/reposição → produção → BOM/insumos/compras. Considerar estoque utilizável e produção válida sem dupla contagem; regra antiga sem desconto de estoque foi superada.</x:v>
      </x:c>
      <x:c r="G103" s="11" t="str">
        <x:v>Fechamento das questões ainda tratadas como abertas — 13/09/2026; §4.5</x:v>
      </x:c>
      <x:c r="H103" s="11" t="str">
        <x:v>BK-009, BK-092, BK-093, BK-094</x:v>
      </x:c>
      <x:c r="I103" s="11" t="str">
        <x:v>Regra/atribuição definida</x:v>
      </x:c>
    </x:row>
    <x:row r="104" ht="95" customHeight="1">
      <x:c r="A104" s="10" t="str">
        <x:v>F-11</x:v>
      </x:c>
      <x:c r="B104" s="10" t="str">
        <x:v>Meta financeira não fabrica SKUs</x:v>
      </x:c>
      <x:c r="C104" s="12" t="str">
        <x:v>Definida</x:v>
      </x:c>
      <x:c r="D104" s="10" t="str">
        <x:v>Definição recebida no fechamento vigente.</x:v>
      </x:c>
      <x:c r="E104" s="10" t="str">
        <x:v>Aplicar nas tarefas vinculadas e verificar com evidência na implementação futura.</x:v>
      </x:c>
      <x:c r="F104" s="12" t="str">
        <x:v>Meta de faturamento é referência comercial/cenário. Forecast se fundamenta em histórico; meta direta por produto só é planejamento quando existir explicitamente. Não ratear total financeiro automaticamente em unidades.</x:v>
      </x:c>
      <x:c r="G104" s="10" t="str">
        <x:v>Fechamento das questões ainda tratadas como abertas — 13/09/2026; §4.6</x:v>
      </x:c>
      <x:c r="H104" s="10" t="str">
        <x:v>BK-009, BK-079, BK-091, BK-095, BK-096</x:v>
      </x:c>
      <x:c r="I104" s="10" t="str">
        <x:v>Regra/atribuição definida</x:v>
      </x:c>
    </x:row>
    <x:row r="105" ht="95" customHeight="1">
      <x:c r="A105" s="11" t="str">
        <x:v>F-12</x:v>
      </x:c>
      <x:c r="B105" s="11" t="str">
        <x:v>Cobertura histórica real</x:v>
      </x:c>
      <x:c r="C105" s="12" t="str">
        <x:v>Definida</x:v>
      </x:c>
      <x:c r="D105" s="11" t="str">
        <x:v>Definição recebida no fechamento vigente.</x:v>
      </x:c>
      <x:c r="E105" s="11" t="str">
        <x:v>Aplicar nas tarefas vinculadas e verificar com evidência na implementação futura.</x:v>
      </x:c>
      <x:c r="F105" s="12" t="str">
        <x:v>Usar histórico confiável de 2025 em diante e medir cobertura real por SKU; não completar meses ou assumir venda zero. Qualidade requer backtest real.</x:v>
      </x:c>
      <x:c r="G105" s="11" t="str">
        <x:v>Fechamento das questões ainda tratadas como abertas — 13/09/2026; §4.7</x:v>
      </x:c>
      <x:c r="H105" s="11" t="str">
        <x:v>BK-087, BK-089, BK-090</x:v>
      </x:c>
      <x:c r="I105" s="11" t="str">
        <x:v>Regra/atribuição definida</x:v>
      </x:c>
    </x:row>
    <x:row r="106" ht="95" customHeight="1">
      <x:c r="A106" s="10" t="str">
        <x:v>F-13</x:v>
      </x:c>
      <x:c r="B106" s="10" t="str">
        <x:v>Precedência e design congelado</x:v>
      </x:c>
      <x:c r="C106" s="12" t="str">
        <x:v>Definida</x:v>
      </x:c>
      <x:c r="D106" s="10" t="str">
        <x:v>Definição recebida no fechamento vigente.</x:v>
      </x:c>
      <x:c r="E106" s="10" t="str">
        <x:v>Aplicar nas tarefas vinculadas e verificar com evidência na implementação futura.</x:v>
      </x:c>
      <x:c r="F106" s="12" t="str">
        <x:v>Visual/layout: mockup aprovado. Fonte/cálculo/comportamento: documentação consolidada. Usar última versão aprovada/congelada, sem redesenho. Artefato ausente precisa ser localizado, sem reabrir a aprovação.</x:v>
      </x:c>
      <x:c r="G106" s="10" t="str">
        <x:v>Fechamento das questões ainda tratadas como abertas — 13/09/2026; §5</x:v>
      </x:c>
      <x:c r="H106" s="10" t="str">
        <x:v>BK-000, BK-004, BK-021, BK-022, BK-108</x:v>
      </x:c>
      <x:c r="I106" s="10" t="str">
        <x:v>Regra/atribuição definida</x:v>
      </x:c>
    </x:row>
    <x:row r="107" ht="95" customHeight="1">
      <x:c r="A107" s="11" t="str">
        <x:v>F-14</x:v>
      </x:c>
      <x:c r="B107" s="11" t="str">
        <x:v>Exportação aprovada preservada</x:v>
      </x:c>
      <x:c r="C107" s="12" t="str">
        <x:v>Definida</x:v>
      </x:c>
      <x:c r="D107" s="11" t="str">
        <x:v>Definição recebida no fechamento vigente.</x:v>
      </x:c>
      <x:c r="E107" s="11" t="str">
        <x:v>Aplicar nas tarefas vinculadas e verificar com evidência na implementação futura.</x:v>
      </x:c>
      <x:c r="F107" s="12" t="str">
        <x:v>Manter as exportações aprovadas, incluindo Excel quando especificado, com os mesmos dados, filtros, período, snapshot e métricas da tela. T11 Compras é exceção: somente consulta, sem exportação ou download, conforme aprovação posterior.</x:v>
      </x:c>
      <x:c r="G107" s="11" t="str">
        <x:v>Fechamento das questões ainda tratadas como abertas — 13/09/2026; §5.7</x:v>
      </x:c>
      <x:c r="H107" s="11" t="str">
        <x:v>BK-012, BK-097, BK-104, BK-109</x:v>
      </x:c>
      <x:c r="I107" s="11" t="str">
        <x:v>Regra/atribuição definida</x:v>
      </x:c>
    </x:row>
    <x:row r="108" ht="95" customHeight="1">
      <x:c r="A108" s="10" t="str">
        <x:v>F-15</x:v>
      </x:c>
      <x:c r="B108" s="10" t="str">
        <x:v>Capacidades e menor privilégio</x:v>
      </x:c>
      <x:c r="C108" s="12" t="str">
        <x:v>Definida</x:v>
      </x:c>
      <x:c r="D108" s="10" t="str">
        <x:v>Definição recebida no fechamento vigente.</x:v>
      </x:c>
      <x:c r="E108" s="10" t="str">
        <x:v>Aplicar nas tarefas vinculadas e verificar com evidência na implementação futura.</x:v>
      </x:c>
      <x:c r="F108" s="12" t="str">
        <x:v>Usuário + perfil + capacidade. Separar leitura/exportação/metas/parâmetros/pendências/usuários/auditoria; não hardcodar nomes nem permitir autoelevação.</x:v>
      </x:c>
      <x:c r="G108" s="10" t="str">
        <x:v>Fechamento das questões ainda tratadas como abertas — 13/09/2026; §6.1–6.2</x:v>
      </x:c>
      <x:c r="H108" s="10" t="str">
        <x:v>BK-013, BK-032, BK-033, BK-035</x:v>
      </x:c>
      <x:c r="I108" s="10" t="str">
        <x:v>Regra/atribuição definida</x:v>
      </x:c>
    </x:row>
    <x:row r="109" ht="95" customHeight="1">
      <x:c r="A109" s="11" t="str">
        <x:v>F-16</x:v>
      </x:c>
      <x:c r="B109" s="11" t="str">
        <x:v>Vigência, fechamento e auditoria</x:v>
      </x:c>
      <x:c r="C109" s="12" t="str">
        <x:v>Definida</x:v>
      </x:c>
      <x:c r="D109" s="11" t="str">
        <x:v>Definição recebida no fechamento vigente.</x:v>
      </x:c>
      <x:c r="E109" s="11" t="str">
        <x:v>Aplicar nas tarefas vinculadas e verificar com evidência na implementação futura.</x:v>
      </x:c>
      <x:c r="F109" s="12" t="str">
        <x:v>Metas são planejamento. Alterações registram usuário, antes/depois, data, período e vigência. Período fechado não muda silenciosamente; reprocessamento é explícito, autorizado, auditado e preserva versão anterior.</x:v>
      </x:c>
      <x:c r="G109" s="11" t="str">
        <x:v>Fechamento das questões ainda tratadas como abertas — 13/09/2026; §6.3–6.8</x:v>
      </x:c>
      <x:c r="H109" s="11" t="str">
        <x:v>BK-034, BK-036, BK-037, BK-038, BK-079, BK-098</x:v>
      </x:c>
      <x:c r="I109" s="11" t="str">
        <x:v>Regra/atribuição definida</x:v>
      </x:c>
    </x:row>
    <x:row r="110" ht="95" customHeight="1">
      <x:c r="A110" s="10" t="str">
        <x:v>F-17</x:v>
      </x:c>
      <x:c r="B110" s="10" t="str">
        <x:v>Operação é engenharia</x:v>
      </x:c>
      <x:c r="C110" s="12" t="str">
        <x:v>Definida</x:v>
      </x:c>
      <x:c r="D110" s="10" t="str">
        <x:v>Definição recebida no fechamento vigente.</x:v>
      </x:c>
      <x:c r="E110" s="10" t="str">
        <x:v>Aplicar nas tarefas vinculadas e verificar com evidência na implementação futura.</x:v>
      </x:c>
      <x:c r="F110" s="12" t="str">
        <x:v>Windows local por serviços independentes de login humano, inicialização controlada, autenticação, segredos no backend, backup automático, restauração testada, logs e suporte documentados. Acesso externo só quando habilitado.</x:v>
      </x:c>
      <x:c r="G110" s="10" t="str">
        <x:v>Fechamento das questões ainda tratadas como abertas — 13/09/2026; §7</x:v>
      </x:c>
      <x:c r="H110" s="10" t="str">
        <x:v>BK-014, BK-114, BK-115, BK-118, BK-119, BK-120, BK-123</x:v>
      </x:c>
      <x:c r="I110" s="10" t="str">
        <x:v>Regra/atribuição definida</x:v>
      </x:c>
    </x:row>
    <x:row r="111" ht="95" customHeight="1">
      <x:c r="A111" s="11" t="str">
        <x:v>F-18</x:v>
      </x:c>
      <x:c r="B111" s="11" t="str">
        <x:v>Bling e exceções específicas</x:v>
      </x:c>
      <x:c r="C111" s="12" t="str">
        <x:v>Definida</x:v>
      </x:c>
      <x:c r="D111" s="11" t="str">
        <x:v>Definição recebida no fechamento vigente.</x:v>
      </x:c>
      <x:c r="E111" s="11" t="str">
        <x:v>Aplicar nas tarefas vinculadas e verificar com evidência na implementação futura.</x:v>
      </x:c>
      <x:c r="F111" s="12" t="str">
        <x:v>Bling é principal para fatos operacionais/financeiros. Drive read-only: perdas operacionais, recebíveis futuros Nuvem e dados específicos Nuvem Envio. Exceções não substituem fatos Bling fora de seu escopo.</x:v>
      </x:c>
      <x:c r="G111" s="11" t="str">
        <x:v>Fechamento das questões ainda tratadas como abertas — 13/09/2026; §8.1–8.5,8.14</x:v>
      </x:c>
      <x:c r="H111" s="11" t="str">
        <x:v>BK-010, BK-046, BK-049, BK-052, BK-060, BK-065</x:v>
      </x:c>
      <x:c r="I111" s="11" t="str">
        <x:v>Regra/atribuição definida</x:v>
      </x:c>
    </x:row>
    <x:row r="112" ht="95" customHeight="1">
      <x:c r="A112" s="10" t="str">
        <x:v>F-19</x:v>
      </x:c>
      <x:c r="B112" s="10" t="str">
        <x:v>Conciliação normal em D-1</x:v>
      </x:c>
      <x:c r="C112" s="12" t="str">
        <x:v>Definida</x:v>
      </x:c>
      <x:c r="D112" s="10" t="str">
        <x:v>Definição recebida no fechamento vigente.</x:v>
      </x:c>
      <x:c r="E112" s="10" t="str">
        <x:v>Aplicar nas tarefas vinculadas e verificar com evidência na implementação futura.</x:v>
      </x:c>
      <x:c r="F112" s="12" t="str">
        <x:v>Análise/conciliação normal de movimentos vai até o dia anterior. Dia corrente somente mediante solicitação expressa. Não generalizar a exceção de 04/09/2026 em regra fixa de sexta-feira/feriado. D-1 não corta a agenda futura nem define frequência da coleta.</x:v>
      </x:c>
      <x:c r="G112" s="10" t="str">
        <x:v>Fechamento das questões ainda tratadas como abertas — 13/09/2026; §8.11</x:v>
      </x:c>
      <x:c r="H112" s="10" t="str">
        <x:v>BK-010, BK-039, BK-051, BK-053, BK-054, BK-056, BK-060, BK-123</x:v>
      </x:c>
      <x:c r="I112" s="10" t="str">
        <x:v>Regra/atribuição definida</x:v>
      </x:c>
    </x:row>
    <x:row r="113" ht="95" customHeight="1">
      <x:c r="A113" s="11" t="str">
        <x:v>F-20</x:v>
      </x:c>
      <x:c r="B113" s="11" t="str">
        <x:v>Conciliação, ausência e idempotência</x:v>
      </x:c>
      <x:c r="C113" s="12" t="str">
        <x:v>Definida</x:v>
      </x:c>
      <x:c r="D113" s="11" t="str">
        <x:v>Definição recebida no fechamento vigente.</x:v>
      </x:c>
      <x:c r="E113" s="11" t="str">
        <x:v>Aplicar nas tarefas vinculadas e verificar com evidência na implementação futura.</x:v>
      </x:c>
      <x:c r="F113" s="12" t="str">
        <x:v>ID Bling prioritário; identificação/nome+valor no fallback; ambiguidade não concilia automaticamente. Ausência != zero; PENDING_RECONCILIATION fora de indicadores que exigem reconciliação. Repetição não duplica fatos/KPIs; origem é rastreável.</x:v>
      </x:c>
      <x:c r="G113" s="11" t="str">
        <x:v>Fechamento das questões ainda tratadas como abertas — 13/09/2026; §8.6–8.13</x:v>
      </x:c>
      <x:c r="H113" s="11" t="str">
        <x:v>BK-020, BK-038, BK-044, BK-053, BK-054, BK-056, BK-107</x:v>
      </x:c>
      <x:c r="I113" s="11" t="str">
        <x:v>Regra/atribuição definida</x:v>
      </x:c>
    </x:row>
  </x:sheetData>
  <x:dataValidations count="1">
    <x:dataValidation type="list" sqref="C6:C113">
      <x:formula1>"Definida,Execução técnica pendente,Referência a localizar"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09852b583429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5" hidden="0" customWidth="1"/>
    <x:col min="2" max="2" width="36.880001068115234" hidden="0" customWidth="1"/>
    <x:col min="3" max="3" width="38.130001068115234" hidden="0" customWidth="1"/>
    <x:col min="4" max="4" width="70" hidden="0" customWidth="1"/>
    <x:col min="5" max="5" width="15.630000114440918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3" t="str">
        <x:v>Majucau — cobertura dos módulos</x:v>
      </x:c>
      <x:c r="B2" s="2"/>
      <x:c r="C2" s="2"/>
      <x:c r="D2" s="2"/>
      <x:c r="E2" s="2"/>
    </x:row>
    <x:row r="3" ht="28" customHeight="1">
      <x:c r="A3" s="2" t="str">
        <x:v>Balanço Patrimonial foi excluído por decisão atual. Itens incompletos permanecem para refinamento.</x:v>
      </x:c>
      <x:c r="B3" s="2"/>
      <x:c r="C3" s="2"/>
      <x:c r="D3" s="2"/>
      <x:c r="E3" s="2"/>
    </x:row>
    <x:row r="4" ht="28" customHeight="1">
      <x:c r="A4" s="2"/>
      <x:c r="B4" s="2"/>
      <x:c r="C4" s="2"/>
      <x:c r="D4" s="2"/>
      <x:c r="E4" s="2"/>
    </x:row>
    <x:row r="5" ht="34" customHeight="1">
      <x:c r="A5" s="8" t="str">
        <x:v>Identificação</x:v>
      </x:c>
      <x:c r="B5" s="8" t="str">
        <x:v>Módulo</x:v>
      </x:c>
      <x:c r="C5" s="8" t="str">
        <x:v>Material disponível</x:v>
      </x:c>
      <x:c r="D5" s="8" t="str">
        <x:v>Referência</x:v>
      </x:c>
      <x:c r="E5" s="8" t="str">
        <x:v>Tarefa de interface</x:v>
      </x:c>
    </x:row>
    <x:row r="6" ht="54" customHeight="1">
      <x:c r="A6" s="10" t="str">
        <x:v>T01</x:v>
      </x:c>
      <x:c r="B6" s="10" t="str">
        <x:v>Visão Executiva</x:v>
      </x:c>
      <x:c r="C6" s="10" t="str">
        <x:v>Referência aprovada a localizar no pacote</x:v>
      </x:c>
      <x:c r="D6" s="10" t="str">
        <x:v>Menus; fechamento vigente (função/fonte)</x:v>
      </x:c>
      <x:c r="E6" s="10" t="str">
        <x:v>BK-102</x:v>
      </x:c>
    </x:row>
    <x:row r="7" ht="54" customHeight="1">
      <x:c r="A7" s="11" t="str">
        <x:v>T02</x:v>
      </x:c>
      <x:c r="B7" s="11" t="str">
        <x:v>Fluxo de Caixa</x:v>
      </x:c>
      <x:c r="C7" s="11" t="str">
        <x:v>Imagem recebida</x:v>
      </x:c>
      <x:c r="D7" s="11" t="str">
        <x:v>T02_Fluxo_de_Caixa.png; fechamento vigente (função/fonte)</x:v>
      </x:c>
      <x:c r="E7" s="11" t="str">
        <x:v>BK-062</x:v>
      </x:c>
    </x:row>
    <x:row r="8" ht="54" customHeight="1">
      <x:c r="A8" s="10" t="str">
        <x:v>T03</x:v>
      </x:c>
      <x:c r="B8" s="10" t="str">
        <x:v>Contas a Receber</x:v>
      </x:c>
      <x:c r="C8" s="10" t="str">
        <x:v>Imagem recebida</x:v>
      </x:c>
      <x:c r="D8" s="10" t="str">
        <x:v>T03_Contas_a_Receber.png; fechamento vigente (função/fonte)</x:v>
      </x:c>
      <x:c r="E8" s="10" t="str">
        <x:v>BK-057</x:v>
      </x:c>
    </x:row>
    <x:row r="9" ht="54" customHeight="1">
      <x:c r="A9" s="11" t="str">
        <x:v>T04</x:v>
      </x:c>
      <x:c r="B9" s="11" t="str">
        <x:v>Contas a Pagar</x:v>
      </x:c>
      <x:c r="C9" s="11" t="str">
        <x:v>Imagem recebida</x:v>
      </x:c>
      <x:c r="D9" s="11" t="str">
        <x:v>T04_Contas_a_Pagar.png; fechamento vigente (função/fonte)</x:v>
      </x:c>
      <x:c r="E9" s="11" t="str">
        <x:v>BK-059</x:v>
      </x:c>
    </x:row>
    <x:row r="10" ht="54" customHeight="1">
      <x:c r="A10" s="10" t="str">
        <x:v>T05</x:v>
      </x:c>
      <x:c r="B10" s="10" t="str">
        <x:v>Conciliação</x:v>
      </x:c>
      <x:c r="C10" s="10" t="str">
        <x:v>Imagem recebida</x:v>
      </x:c>
      <x:c r="D10" s="10" t="str">
        <x:v>T05_Conciliacao.png; fechamento vigente (função/fonte)</x:v>
      </x:c>
      <x:c r="E10" s="10" t="str">
        <x:v>BK-055</x:v>
      </x:c>
    </x:row>
    <x:row r="11" ht="54" customHeight="1">
      <x:c r="A11" s="11" t="str">
        <x:v>T06</x:v>
      </x:c>
      <x:c r="B11" s="11" t="str">
        <x:v>DRE</x:v>
      </x:c>
      <x:c r="C11" s="11" t="str">
        <x:v>Imagem recebida</x:v>
      </x:c>
      <x:c r="D11" s="11" t="str">
        <x:v>T06_DRE.png; fechamento vigente (função/fonte)</x:v>
      </x:c>
      <x:c r="E11" s="11" t="str">
        <x:v>BK-067</x:v>
      </x:c>
    </x:row>
    <x:row r="12" ht="54" customHeight="1">
      <x:c r="A12" s="10" t="str">
        <x:v>T07</x:v>
      </x:c>
      <x:c r="B12" s="10" t="str">
        <x:v>Balancete</x:v>
      </x:c>
      <x:c r="C12" s="10" t="str">
        <x:v>Imagem recebida</x:v>
      </x:c>
      <x:c r="D12" s="10" t="str">
        <x:v>T07_Balancete.png; fechamento vigente (função/fonte)</x:v>
      </x:c>
      <x:c r="E12" s="10" t="str">
        <x:v>BK-069</x:v>
      </x:c>
    </x:row>
    <x:row r="13" ht="54" customHeight="1">
      <x:c r="A13" s="11" t="str">
        <x:v>T08</x:v>
      </x:c>
      <x:c r="B13" s="11" t="str">
        <x:v>Calculadora de Aplicação</x:v>
      </x:c>
      <x:c r="C13" s="11" t="str">
        <x:v>Imagem recebida</x:v>
      </x:c>
      <x:c r="D13" s="11" t="str">
        <x:v>T08_Calculadora_de_Aplicacao.png; fechamento vigente (função/fonte)</x:v>
      </x:c>
      <x:c r="E13" s="11" t="str">
        <x:v>BK-073</x:v>
      </x:c>
    </x:row>
    <x:row r="14" ht="54" customHeight="1">
      <x:c r="A14" s="10" t="str">
        <x:v>T09</x:v>
      </x:c>
      <x:c r="B14" s="10" t="str">
        <x:v>Estoque</x:v>
      </x:c>
      <x:c r="C14" s="10" t="str">
        <x:v>Imagem recebida</x:v>
      </x:c>
      <x:c r="D14" s="10" t="str">
        <x:v>T09_Estoque.png; fechamento vigente (função/fonte)</x:v>
      </x:c>
      <x:c r="E14" s="10" t="str">
        <x:v>BK-078</x:v>
      </x:c>
    </x:row>
    <x:row r="15" ht="54" customHeight="1">
      <x:c r="A15" s="11" t="str">
        <x:v>T10</x:v>
      </x:c>
      <x:c r="B15" s="11" t="str">
        <x:v>Produção</x:v>
      </x:c>
      <x:c r="C15" s="11" t="str">
        <x:v>2 arquivos idênticos</x:v>
      </x:c>
      <x:c r="D15" s="11" t="str">
        <x:v>T10_Producao.png + ChatGPT Image 12 de set. de 2026, 20_48_11.png; fechamento vigente (função/fonte)</x:v>
      </x:c>
      <x:c r="E15" s="11" t="str">
        <x:v>BK-081</x:v>
      </x:c>
    </x:row>
    <x:row r="16" ht="54" customHeight="1">
      <x:c r="A16" s="10" t="str">
        <x:v>T11</x:v>
      </x:c>
      <x:c r="B16" s="10" t="str">
        <x:v>Compras</x:v>
      </x:c>
      <x:c r="C16" s="10" t="str">
        <x:v>Contrato recebido; visual aprovado a localizar</x:v>
      </x:c>
      <x:c r="D16" s="10" t="str">
        <x:v>Q_CEI_Tela_11; fechamento vigente (função/fonte)</x:v>
      </x:c>
      <x:c r="E16" s="10" t="str">
        <x:v>BK-086</x:v>
      </x:c>
    </x:row>
    <x:row r="17" ht="54" customHeight="1">
      <x:c r="A17" s="11" t="str">
        <x:v>T12</x:v>
      </x:c>
      <x:c r="B17" s="11" t="str">
        <x:v>Projeções</x:v>
      </x:c>
      <x:c r="C17" s="11" t="str">
        <x:v>Imagem e contrato</x:v>
      </x:c>
      <x:c r="D17" s="11" t="str">
        <x:v>T12_Projecoes.png + R_CEI_Tela_12; fechamento vigente (função/fonte)</x:v>
      </x:c>
      <x:c r="E17" s="11" t="str">
        <x:v>BK-096</x:v>
      </x:c>
    </x:row>
    <x:row r="18" ht="54" customHeight="1">
      <x:c r="A18" s="10" t="str">
        <x:v>T13</x:v>
      </x:c>
      <x:c r="B18" s="10" t="str">
        <x:v>Lançamentos e Pendências</x:v>
      </x:c>
      <x:c r="C18" s="10" t="str">
        <x:v>Imagem e contrato</x:v>
      </x:c>
      <x:c r="D18" s="10" t="str">
        <x:v>T13_Lancamentos_e_Pendencias.png + S_CEI_Tela_13; fechamento vigente (função/fonte)</x:v>
      </x:c>
      <x:c r="E18" s="10" t="str">
        <x:v>BK-099</x:v>
      </x:c>
    </x:row>
    <x:row r="19" ht="54" customHeight="1">
      <x:c r="A19" s="11" t="str">
        <x:v>T14</x:v>
      </x:c>
      <x:c r="B19" s="11" t="str">
        <x:v>Alertas</x:v>
      </x:c>
      <x:c r="C19" s="11" t="str">
        <x:v>Imagem e contrato</x:v>
      </x:c>
      <x:c r="D19" s="11" t="str">
        <x:v>T14_Alertas.png + T_CEI_Tela_14; fechamento vigente (função/fonte)</x:v>
      </x:c>
      <x:c r="E19" s="11" t="str">
        <x:v>BK-101</x:v>
      </x:c>
    </x:row>
    <x:row r="20" ht="54" customHeight="1">
      <x:c r="A20" s="10" t="str">
        <x:v>T15</x:v>
      </x:c>
      <x:c r="B20" s="10" t="str">
        <x:v>Importações e Integrações</x:v>
      </x:c>
      <x:c r="C20" s="10" t="str">
        <x:v>Imagem e contrato</x:v>
      </x:c>
      <x:c r="D20" s="10" t="str">
        <x:v>T15_Importacoes_e_Integracoes.png + U_CEI_Tela_15; fechamento vigente (função/fonte)</x:v>
      </x:c>
      <x:c r="E20" s="10" t="str">
        <x:v>BK-052</x:v>
      </x:c>
    </x:row>
    <x:row r="21" ht="54" customHeight="1">
      <x:c r="A21" s="11" t="str">
        <x:v>T16</x:v>
      </x:c>
      <x:c r="B21" s="11" t="str">
        <x:v>Parâmetros</x:v>
      </x:c>
      <x:c r="C21" s="11" t="str">
        <x:v>Imagem e contrato</x:v>
      </x:c>
      <x:c r="D21" s="11" t="str">
        <x:v>T16_Parametros.png + V_Mockup_Tela_16 + W_CEI_Tela_16; fechamento vigente (função/fonte)</x:v>
      </x:c>
      <x:c r="E21" s="11" t="str">
        <x:v>BK-037</x:v>
      </x:c>
    </x:row>
    <x:row r="22" ht="54" customHeight="1">
      <x:c r="A22" s="10" t="str">
        <x:v>T17</x:v>
      </x:c>
      <x:c r="B22" s="10" t="str">
        <x:v>Usuários</x:v>
      </x:c>
      <x:c r="C22" s="10" t="str">
        <x:v>Imagem e contrato</x:v>
      </x:c>
      <x:c r="D22" s="10" t="str">
        <x:v>T17_Usuarios.png + X_Mockup_Tela_17 + Y_CEI_Tela_17; fechamento vigente (função/fonte)</x:v>
      </x:c>
      <x:c r="E22" s="10" t="str">
        <x:v>BK-035</x:v>
      </x:c>
    </x:row>
    <x:row r="23" ht="54" customHeight="1">
      <x:c r="A23" s="11" t="str">
        <x:v>Sem número confirmado</x:v>
      </x:c>
      <x:c r="B23" s="11" t="str">
        <x:v>Aplicações</x:v>
      </x:c>
      <x:c r="C23" s="11" t="str">
        <x:v>Referência aprovada a localizar no pacote</x:v>
      </x:c>
      <x:c r="D23" s="11" t="str">
        <x:v>Menu + T08; fechamento vigente (função/fonte)</x:v>
      </x:c>
      <x:c r="E23" s="11" t="str">
        <x:v>BK-074</x:v>
      </x:c>
    </x:row>
    <x:row r="24" ht="54" customHeight="1">
      <x:c r="A24" s="10" t="str">
        <x:v>Bloco a localizar</x:v>
      </x:c>
      <x:c r="B24" s="10" t="str">
        <x:v>Pricing / preço e margem</x:v>
      </x:c>
      <x:c r="C24" s="10" t="str">
        <x:v>Localizar referência funcional/visual aprovada</x:v>
      </x:c>
      <x:c r="D24" s="10" t="str">
        <x:v>M-021..M-023; fechamento vigente (função/fonte)</x:v>
      </x:c>
      <x:c r="E24" s="10" t="str">
        <x:v>BK-075</x:v>
      </x:c>
    </x:row>
    <x:row r="25" ht="54" customHeight="1">
      <x:c r="A25" s="11" t="str">
        <x:v>Bloco a localizar</x:v>
      </x:c>
      <x:c r="B25" s="11" t="str">
        <x:v>Logística</x:v>
      </x:c>
      <x:c r="C25" s="11" t="str">
        <x:v>Localizar referência funcional/visual aprovada</x:v>
      </x:c>
      <x:c r="D25" s="11" t="str">
        <x:v>M-013..M-016; fechamento vigente (função/fonte)</x:v>
      </x:c>
      <x:c r="E25" s="11" t="str">
        <x:v>BK-076</x:v>
      </x:c>
    </x:row>
    <x:row r="26" ht="54" customHeight="1">
      <x:c r="A26" s="10" t="str">
        <x:v>Escopo a detalhar</x:v>
      </x:c>
      <x:c r="B26" s="10" t="str">
        <x:v>Produtos, Simuladores e Relatórios</x:v>
      </x:c>
      <x:c r="C26" s="10" t="str">
        <x:v>Localizar referência funcional/visual aprovada</x:v>
      </x:c>
      <x:c r="D26" s="10" t="str">
        <x:v>T12/T13; fechamento vigente (função/fonte)</x:v>
      </x:c>
      <x:c r="E26" s="10" t="str">
        <x:v>BK-103</x:v>
      </x:c>
    </x:row>
  </x:sheetData>
  <x:pageMargins left="0.7" right="0.7" top="0.75" bottom="0.75" header="0.3" footer="0.3"/>
  <x:tableParts count="1">
    <x:tablePart xmlns:r="http://schemas.openxmlformats.org/officeDocument/2006/relationships" r:id="Rbc04beebe2ab4a89"/>
  </x:tableParts>
</x:worksheet>
</file>